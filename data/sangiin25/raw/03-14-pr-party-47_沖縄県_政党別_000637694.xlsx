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◎平成20年度以降\01　課共通\02　参議院通常選挙\第25回＜令和元年＞\（準備）二係末席（緑川）\15_市区町村別得票数調\03_HP掲載用データ\47_沖縄県\"/>
    </mc:Choice>
  </mc:AlternateContent>
  <bookViews>
    <workbookView xWindow="600" yWindow="72" windowWidth="16608" windowHeight="8052"/>
  </bookViews>
  <sheets>
    <sheet name="沖縄県" sheetId="1" r:id="rId1"/>
  </sheets>
  <definedNames>
    <definedName name="_xlnm.Print_Area" localSheetId="0">沖縄県!$A$1:$AT$52</definedName>
    <definedName name="_xlnm.Print_Titles" localSheetId="0">沖縄県!$A:$A,沖縄県!$1:$3</definedName>
  </definedNames>
  <calcPr calcId="152511"/>
</workbook>
</file>

<file path=xl/calcChain.xml><?xml version="1.0" encoding="utf-8"?>
<calcChain xmlns="http://schemas.openxmlformats.org/spreadsheetml/2006/main">
  <c r="B52" i="1" l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3" i="1" l="1"/>
  <c r="A52" i="1" s="1"/>
</calcChain>
</file>

<file path=xl/sharedStrings.xml><?xml version="1.0" encoding="utf-8"?>
<sst xmlns="http://schemas.openxmlformats.org/spreadsheetml/2006/main" count="133" uniqueCount="63">
  <si>
    <t>届出番号</t>
  </si>
  <si>
    <t>政党等名</t>
  </si>
  <si>
    <t>得票総数</t>
  </si>
  <si>
    <t>政党等の</t>
  </si>
  <si>
    <t>名簿登載者の</t>
  </si>
  <si>
    <t>開票区名</t>
  </si>
  <si>
    <t>参議院議員通常選挙（比例代表）　名簿届出政党別市区町村別得票数一覧</t>
    <rPh sb="0" eb="1">
      <t>サン</t>
    </rPh>
    <rPh sb="5" eb="7">
      <t>ツウジョウ</t>
    </rPh>
    <rPh sb="10" eb="12">
      <t>ヒレイ</t>
    </rPh>
    <rPh sb="12" eb="14">
      <t>ダイヒョウ</t>
    </rPh>
    <rPh sb="16" eb="18">
      <t>メイボ</t>
    </rPh>
    <rPh sb="18" eb="20">
      <t>トドケデ</t>
    </rPh>
    <rPh sb="20" eb="22">
      <t>セイトウ</t>
    </rPh>
    <phoneticPr fontId="6"/>
  </si>
  <si>
    <t>[単位：票]</t>
  </si>
  <si>
    <t>社会民主党</t>
    <rPh sb="0" eb="2">
      <t>シャカイ</t>
    </rPh>
    <rPh sb="2" eb="5">
      <t>ミンシュトウ</t>
    </rPh>
    <phoneticPr fontId="2"/>
  </si>
  <si>
    <t>公明党</t>
    <rPh sb="0" eb="3">
      <t>コウメイトウ</t>
    </rPh>
    <phoneticPr fontId="2"/>
  </si>
  <si>
    <t>日本共産党</t>
    <rPh sb="0" eb="2">
      <t>ニホン</t>
    </rPh>
    <rPh sb="2" eb="5">
      <t>キョウサントウ</t>
    </rPh>
    <phoneticPr fontId="2"/>
  </si>
  <si>
    <t>令和元年7月21日執行</t>
    <rPh sb="0" eb="2">
      <t>レイワ</t>
    </rPh>
    <rPh sb="2" eb="3">
      <t>ガン</t>
    </rPh>
    <phoneticPr fontId="6"/>
  </si>
  <si>
    <t>自由民主党</t>
    <rPh sb="0" eb="2">
      <t>ジユウ</t>
    </rPh>
    <rPh sb="2" eb="5">
      <t>ミンシュトウ</t>
    </rPh>
    <phoneticPr fontId="2"/>
  </si>
  <si>
    <t>オリーブの木</t>
    <rPh sb="5" eb="6">
      <t>キ</t>
    </rPh>
    <phoneticPr fontId="2"/>
  </si>
  <si>
    <t>国民民主党</t>
    <rPh sb="0" eb="2">
      <t>コクミン</t>
    </rPh>
    <rPh sb="2" eb="5">
      <t>ミンシュトウ</t>
    </rPh>
    <phoneticPr fontId="2"/>
  </si>
  <si>
    <t>日本維新の会</t>
    <rPh sb="0" eb="2">
      <t>ニホン</t>
    </rPh>
    <rPh sb="2" eb="4">
      <t>イシン</t>
    </rPh>
    <rPh sb="5" eb="6">
      <t>カイ</t>
    </rPh>
    <phoneticPr fontId="2"/>
  </si>
  <si>
    <t>幸福実現党</t>
    <rPh sb="0" eb="2">
      <t>コウフク</t>
    </rPh>
    <rPh sb="2" eb="4">
      <t>ジツゲン</t>
    </rPh>
    <rPh sb="4" eb="5">
      <t>トウ</t>
    </rPh>
    <phoneticPr fontId="2"/>
  </si>
  <si>
    <t>立憲民主党</t>
    <rPh sb="0" eb="2">
      <t>リッケン</t>
    </rPh>
    <rPh sb="2" eb="5">
      <t>ミンシュトウ</t>
    </rPh>
    <phoneticPr fontId="2"/>
  </si>
  <si>
    <t>労働の解放をめざす労働者党</t>
    <rPh sb="0" eb="2">
      <t>ロウドウ</t>
    </rPh>
    <rPh sb="3" eb="5">
      <t>カイホウ</t>
    </rPh>
    <rPh sb="9" eb="12">
      <t>ロウドウシャ</t>
    </rPh>
    <rPh sb="12" eb="13">
      <t>トウ</t>
    </rPh>
    <phoneticPr fontId="2"/>
  </si>
  <si>
    <t>ＮＨＫから国民を守る党</t>
    <rPh sb="5" eb="7">
      <t>コクミン</t>
    </rPh>
    <rPh sb="8" eb="9">
      <t>マモ</t>
    </rPh>
    <rPh sb="10" eb="11">
      <t>トウ</t>
    </rPh>
    <phoneticPr fontId="2"/>
  </si>
  <si>
    <t>安楽死制度を考える会</t>
    <rPh sb="0" eb="3">
      <t>アンラクシ</t>
    </rPh>
    <rPh sb="3" eb="5">
      <t>セイド</t>
    </rPh>
    <rPh sb="6" eb="7">
      <t>カンガ</t>
    </rPh>
    <rPh sb="9" eb="10">
      <t>カイ</t>
    </rPh>
    <phoneticPr fontId="2"/>
  </si>
  <si>
    <t>れいわ新選組</t>
    <rPh sb="3" eb="6">
      <t>シンセングミ</t>
    </rPh>
    <phoneticPr fontId="2"/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</si>
  <si>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</si>
  <si>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</si>
  <si>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</si>
  <si>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</si>
  <si>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</si>
  <si>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</si>
  <si>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</si>
  <si>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</si>
  <si>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</si>
  <si>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</si>
  <si>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</si>
  <si>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国頭村</t>
  </si>
  <si>
    <t>大宜味村</t>
  </si>
  <si>
    <t>東村</t>
  </si>
  <si>
    <t>今帰仁村</t>
  </si>
  <si>
    <t>本部町</t>
  </si>
  <si>
    <t>恩納村</t>
  </si>
  <si>
    <t>宜野座村</t>
  </si>
  <si>
    <t>金武町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</si>
  <si>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</si>
  <si>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</si>
  <si>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</si>
  <si>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</si>
  <si>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</si>
  <si>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</si>
  <si>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</si>
  <si>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</si>
  <si>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</si>
  <si>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渡嘉敷村</t>
  </si>
  <si>
    <t>座間味村</t>
  </si>
  <si>
    <t>粟国村</t>
  </si>
  <si>
    <t>渡名喜村</t>
  </si>
  <si>
    <t>南大東村</t>
  </si>
  <si>
    <t>北大東村</t>
  </si>
  <si>
    <t>伊平屋村</t>
  </si>
  <si>
    <t>伊是名村</t>
  </si>
  <si>
    <t>久米島町</t>
  </si>
  <si>
    <t>八重瀬町</t>
  </si>
  <si>
    <t>多良間村</t>
  </si>
  <si>
    <t>竹富町</t>
  </si>
  <si>
    <t>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</si>
</sst>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"/>
  </numFmts>
  <fonts count="15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b/>
      <sz val="11"/>
      <name val="ＭＳ ゴシック"/>
      <family val="3"/>
      <charset val="128"/>
    </font>
    <font>
      <sz val="11"/>
      <color rgb="FF0000FF"/>
      <name val="ＭＳ ゴシック"/>
      <family val="3"/>
      <charset val="128"/>
    </font>
    <font>
      <sz val="11"/>
      <color rgb="FF0000FF"/>
      <name val="ＭＳ 明朝"/>
      <family val="1"/>
      <charset val="128"/>
    </font>
    <font>
      <b/>
      <sz val="12"/>
      <color rgb="FF0000FF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/>
    <xf numFmtId="0" fontId="1" fillId="0" borderId="2" xfId="0" applyNumberFormat="1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1" fillId="0" borderId="4" xfId="0" applyNumberFormat="1" applyFont="1" applyBorder="1" applyAlignment="1"/>
    <xf numFmtId="0" fontId="4" fillId="0" borderId="5" xfId="0" applyNumberFormat="1" applyFont="1" applyBorder="1" applyAlignment="1">
      <alignment horizontal="center" vertical="center"/>
    </xf>
    <xf numFmtId="0" fontId="0" fillId="0" borderId="5" xfId="0" applyBorder="1" applyAlignment="1"/>
    <xf numFmtId="0" fontId="4" fillId="0" borderId="6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0" fillId="0" borderId="6" xfId="0" applyBorder="1" applyAlignment="1"/>
    <xf numFmtId="58" fontId="5" fillId="0" borderId="0" xfId="0" applyNumberFormat="1" applyFont="1" applyFill="1" applyBorder="1" applyAlignment="1">
      <alignment vertical="center"/>
    </xf>
    <xf numFmtId="58" fontId="5" fillId="0" borderId="0" xfId="0" applyNumberFormat="1" applyFont="1" applyFill="1" applyBorder="1" applyAlignment="1">
      <alignment horizontal="right"/>
    </xf>
    <xf numFmtId="32" fontId="5" fillId="0" borderId="0" xfId="0" applyNumberFormat="1" applyFont="1" applyFill="1" applyBorder="1" applyAlignment="1"/>
    <xf numFmtId="0" fontId="1" fillId="0" borderId="0" xfId="0" applyFont="1" applyFill="1" applyAlignment="1">
      <alignment vertical="center"/>
    </xf>
    <xf numFmtId="0" fontId="5" fillId="0" borderId="0" xfId="0" applyFont="1" applyFill="1" applyAlignment="1">
      <alignment horizontal="right"/>
    </xf>
    <xf numFmtId="0" fontId="3" fillId="0" borderId="0" xfId="0" applyFont="1" applyFill="1" applyBorder="1" applyAlignment="1">
      <alignment horizontal="right"/>
    </xf>
    <xf numFmtId="0" fontId="7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/>
    </xf>
    <xf numFmtId="0" fontId="8" fillId="0" borderId="0" xfId="0" applyFont="1" applyFill="1" applyAlignment="1">
      <alignment horizontal="right"/>
    </xf>
    <xf numFmtId="0" fontId="1" fillId="0" borderId="0" xfId="0" applyFont="1" applyFill="1" applyAlignment="1">
      <alignment horizontal="right"/>
    </xf>
    <xf numFmtId="176" fontId="10" fillId="0" borderId="7" xfId="0" applyNumberFormat="1" applyFont="1" applyBorder="1" applyAlignment="1">
      <alignment horizontal="right" vertical="center"/>
    </xf>
    <xf numFmtId="176" fontId="10" fillId="0" borderId="4" xfId="0" applyNumberFormat="1" applyFont="1" applyBorder="1" applyAlignment="1">
      <alignment horizontal="right" vertical="center"/>
    </xf>
    <xf numFmtId="0" fontId="0" fillId="0" borderId="1" xfId="0" applyNumberFormat="1" applyFont="1" applyBorder="1" applyAlignment="1">
      <alignment horizontal="center" vertical="center"/>
    </xf>
    <xf numFmtId="176" fontId="0" fillId="0" borderId="0" xfId="0" applyNumberFormat="1"/>
    <xf numFmtId="0" fontId="0" fillId="0" borderId="0" xfId="0" applyBorder="1"/>
    <xf numFmtId="0" fontId="12" fillId="0" borderId="8" xfId="0" applyFont="1" applyFill="1" applyBorder="1" applyAlignment="1">
      <alignment horizontal="distributed" vertical="center"/>
    </xf>
    <xf numFmtId="176" fontId="13" fillId="0" borderId="9" xfId="0" applyNumberFormat="1" applyFont="1" applyBorder="1" applyAlignment="1">
      <alignment horizontal="right" vertical="center"/>
    </xf>
    <xf numFmtId="176" fontId="13" fillId="0" borderId="10" xfId="0" applyNumberFormat="1" applyFont="1" applyBorder="1" applyAlignment="1">
      <alignment horizontal="right" vertical="center"/>
    </xf>
    <xf numFmtId="0" fontId="9" fillId="0" borderId="11" xfId="0" applyFont="1" applyFill="1" applyBorder="1" applyAlignment="1">
      <alignment horizontal="distributed" vertical="center"/>
    </xf>
    <xf numFmtId="0" fontId="9" fillId="0" borderId="12" xfId="0" applyFont="1" applyFill="1" applyBorder="1" applyAlignment="1">
      <alignment horizontal="distributed" vertical="center"/>
    </xf>
    <xf numFmtId="176" fontId="10" fillId="0" borderId="6" xfId="0" applyNumberFormat="1" applyFont="1" applyBorder="1" applyAlignment="1">
      <alignment horizontal="right" vertical="center"/>
    </xf>
    <xf numFmtId="176" fontId="10" fillId="0" borderId="5" xfId="0" applyNumberFormat="1" applyFont="1" applyBorder="1" applyAlignment="1">
      <alignment horizontal="right" vertical="center"/>
    </xf>
    <xf numFmtId="0" fontId="9" fillId="0" borderId="13" xfId="0" applyFont="1" applyFill="1" applyBorder="1" applyAlignment="1">
      <alignment horizontal="distributed" vertical="center"/>
    </xf>
    <xf numFmtId="176" fontId="10" fillId="0" borderId="14" xfId="0" applyNumberFormat="1" applyFont="1" applyBorder="1" applyAlignment="1">
      <alignment horizontal="right" vertical="center"/>
    </xf>
    <xf numFmtId="176" fontId="10" fillId="0" borderId="15" xfId="0" applyNumberFormat="1" applyFont="1" applyBorder="1" applyAlignment="1">
      <alignment horizontal="right" vertical="center"/>
    </xf>
    <xf numFmtId="0" fontId="7" fillId="0" borderId="0" xfId="0" applyFont="1" applyFill="1" applyAlignment="1">
      <alignment vertical="center"/>
    </xf>
    <xf numFmtId="0" fontId="14" fillId="0" borderId="0" xfId="0" applyFont="1" applyFill="1" applyAlignment="1">
      <alignment horizontal="distributed"/>
    </xf>
    <xf numFmtId="0" fontId="1" fillId="0" borderId="0" xfId="0" applyFont="1" applyFill="1" applyAlignment="1"/>
    <xf numFmtId="0" fontId="11" fillId="0" borderId="0" xfId="0" applyFont="1" applyFill="1" applyAlignment="1">
      <alignment horizontal="right"/>
    </xf>
    <xf numFmtId="0" fontId="0" fillId="0" borderId="16" xfId="0" applyNumberFormat="1" applyFont="1" applyBorder="1" applyAlignment="1">
      <alignment horizontal="right" vertical="center"/>
    </xf>
    <xf numFmtId="0" fontId="0" fillId="0" borderId="17" xfId="0" applyNumberFormat="1" applyFont="1" applyBorder="1" applyAlignment="1">
      <alignment horizontal="center" vertical="center" shrinkToFit="1"/>
    </xf>
    <xf numFmtId="0" fontId="0" fillId="0" borderId="0" xfId="0" applyNumberFormat="1" applyFont="1" applyBorder="1" applyAlignment="1">
      <alignment horizontal="center" vertical="center" shrinkToFit="1"/>
    </xf>
    <xf numFmtId="0" fontId="0" fillId="0" borderId="5" xfId="0" applyNumberFormat="1" applyFont="1" applyBorder="1" applyAlignment="1">
      <alignment horizontal="center" vertical="center" shrinkToFit="1"/>
    </xf>
    <xf numFmtId="0" fontId="0" fillId="0" borderId="18" xfId="0" applyNumberFormat="1" applyFont="1" applyBorder="1" applyAlignment="1">
      <alignment horizontal="right" vertical="center"/>
    </xf>
    <xf numFmtId="0" fontId="0" fillId="0" borderId="18" xfId="0" applyNumberFormat="1" applyFont="1" applyBorder="1" applyAlignment="1">
      <alignment horizontal="left" vertical="center"/>
    </xf>
    <xf numFmtId="0" fontId="0" fillId="0" borderId="12" xfId="0" applyNumberFormat="1" applyFont="1" applyBorder="1" applyAlignment="1">
      <alignment horizontal="left"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10583</xdr:colOff>
      <xdr:row>3</xdr:row>
      <xdr:rowOff>21167</xdr:rowOff>
    </xdr:from>
    <xdr:to>
      <xdr:col>1</xdr:col>
      <xdr:colOff>7620</xdr:colOff>
      <xdr:row>9</xdr:row>
      <xdr:rowOff>144780</xdr:rowOff>
    </xdr:to>
    <xdr:cxnSp macro="">
      <xdr:nvCxnSpPr>
        <xdr:cNvPr id="3" name="直線コネクタ 2"/>
        <xdr:cNvCxnSpPr/>
      </xdr:nvCxnSpPr>
      <xdr:spPr>
        <a:xfrm>
          <a:off x="10583" y="935567"/>
          <a:ext cx="1597237" cy="1038013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3"/>
  <sheetViews>
    <sheetView tabSelected="1" view="pageBreakPreview" zoomScaleNormal="90" zoomScaleSheetLayoutView="100" workbookViewId="0">
      <pane ySplit="10" topLeftCell="A11" activePane="bottomLeft" state="frozen"/>
      <selection pane="bottomLeft"/>
    </sheetView>
  </sheetViews>
  <sheetFormatPr defaultRowHeight="15" customHeight="1" x14ac:dyDescent="0.2"/>
  <cols>
    <col min="1" max="1" width="23.33203125" customWidth="1"/>
    <col min="2" max="46" width="16.6640625" customWidth="1"/>
  </cols>
  <sheetData>
    <row r="1" spans="1:41" s="15" customFormat="1" ht="24" customHeight="1" x14ac:dyDescent="0.2">
      <c r="A1" s="12" t="s">
        <v>11</v>
      </c>
      <c r="B1" s="13"/>
      <c r="C1" s="13"/>
      <c r="D1" s="13"/>
      <c r="E1" s="13"/>
      <c r="F1" s="13"/>
      <c r="G1" s="13"/>
      <c r="H1" s="14"/>
      <c r="J1" s="16"/>
      <c r="K1" s="13"/>
      <c r="L1" s="13"/>
      <c r="M1" s="13"/>
      <c r="N1" s="13"/>
      <c r="O1" s="13"/>
      <c r="P1" s="13"/>
      <c r="Q1" s="14"/>
      <c r="S1" s="16"/>
      <c r="T1" s="13"/>
      <c r="U1" s="13"/>
      <c r="V1" s="13"/>
      <c r="W1" s="13"/>
      <c r="X1" s="13"/>
      <c r="Y1" s="13"/>
      <c r="Z1" s="14"/>
      <c r="AB1" s="16"/>
      <c r="AC1" s="13"/>
      <c r="AD1" s="13"/>
      <c r="AE1" s="13"/>
      <c r="AF1" s="13"/>
      <c r="AG1" s="13"/>
      <c r="AH1" s="13"/>
      <c r="AI1" s="14"/>
      <c r="AK1" s="16"/>
      <c r="AL1" s="14"/>
      <c r="AN1" s="16"/>
      <c r="AO1" s="17"/>
    </row>
    <row r="2" spans="1:41" s="15" customFormat="1" ht="24" customHeight="1" x14ac:dyDescent="0.2">
      <c r="A2" s="37"/>
      <c r="B2" s="37"/>
      <c r="C2" s="37" t="s">
        <v>6</v>
      </c>
      <c r="D2" s="37"/>
      <c r="E2" s="37"/>
      <c r="F2" s="37"/>
      <c r="G2" s="37"/>
      <c r="H2" s="37"/>
      <c r="I2" s="37"/>
      <c r="J2" s="37"/>
      <c r="K2" s="37"/>
      <c r="L2" s="37" t="s">
        <v>6</v>
      </c>
      <c r="M2" s="18"/>
      <c r="N2" s="18"/>
      <c r="O2" s="18"/>
      <c r="P2" s="18"/>
      <c r="Q2" s="18"/>
      <c r="R2" s="18"/>
      <c r="S2" s="18"/>
      <c r="T2" s="37"/>
      <c r="U2" s="37" t="s">
        <v>6</v>
      </c>
      <c r="V2" s="18"/>
      <c r="W2" s="18"/>
      <c r="X2" s="18"/>
      <c r="Y2" s="18"/>
      <c r="Z2" s="18"/>
      <c r="AA2" s="18"/>
      <c r="AB2" s="18"/>
      <c r="AC2" s="37"/>
      <c r="AD2" s="37" t="s">
        <v>6</v>
      </c>
      <c r="AE2" s="18"/>
      <c r="AF2" s="18"/>
      <c r="AG2" s="18"/>
      <c r="AH2" s="18"/>
      <c r="AI2" s="18"/>
      <c r="AJ2" s="18"/>
      <c r="AK2" s="18"/>
      <c r="AL2" s="37"/>
      <c r="AM2" s="37" t="s">
        <v>6</v>
      </c>
      <c r="AN2" s="18"/>
      <c r="AO2" s="16"/>
    </row>
    <row r="3" spans="1:41" s="39" customFormat="1" ht="24" customHeight="1" thickBot="1" x14ac:dyDescent="0.25">
      <c r="A3" s="38" t="str">
        <f ca="1">RIGHT(CELL("filename",A3),LEN(CELL("filename",A3))-FIND("]",CELL("filename",A3)))</f>
        <v>沖縄県</v>
      </c>
      <c r="B3" s="16"/>
      <c r="C3" s="19"/>
      <c r="D3" s="19"/>
      <c r="E3" s="19"/>
      <c r="F3" s="19"/>
      <c r="G3" s="19"/>
      <c r="H3" s="20"/>
      <c r="J3" s="40" t="s">
        <v>7</v>
      </c>
      <c r="K3" s="16"/>
      <c r="L3" s="19"/>
      <c r="M3" s="19"/>
      <c r="N3" s="19"/>
      <c r="O3" s="19"/>
      <c r="P3" s="19"/>
      <c r="Q3" s="20"/>
      <c r="S3" s="40" t="s">
        <v>7</v>
      </c>
      <c r="T3" s="16"/>
      <c r="U3" s="19"/>
      <c r="V3" s="19"/>
      <c r="W3" s="19"/>
      <c r="X3" s="19"/>
      <c r="Y3" s="19"/>
      <c r="Z3" s="20"/>
      <c r="AB3" s="40" t="s">
        <v>7</v>
      </c>
      <c r="AC3" s="16"/>
      <c r="AD3" s="19"/>
      <c r="AE3" s="19"/>
      <c r="AF3" s="19"/>
      <c r="AG3" s="19"/>
      <c r="AH3" s="19"/>
      <c r="AI3" s="20"/>
      <c r="AK3" s="40" t="s">
        <v>7</v>
      </c>
      <c r="AL3" s="20"/>
      <c r="AN3" s="40" t="s">
        <v>7</v>
      </c>
      <c r="AO3" s="21"/>
    </row>
    <row r="4" spans="1:41" ht="12" customHeight="1" x14ac:dyDescent="0.2">
      <c r="A4" s="41" t="s">
        <v>0</v>
      </c>
      <c r="B4" s="1"/>
      <c r="C4" s="24">
        <v>1</v>
      </c>
      <c r="D4" s="2"/>
      <c r="E4" s="1"/>
      <c r="F4" s="24">
        <v>2</v>
      </c>
      <c r="G4" s="2"/>
      <c r="H4" s="1"/>
      <c r="I4" s="24">
        <v>3</v>
      </c>
      <c r="J4" s="3"/>
      <c r="K4" s="1"/>
      <c r="L4" s="24">
        <v>4</v>
      </c>
      <c r="M4" s="2"/>
      <c r="N4" s="1"/>
      <c r="O4" s="24">
        <v>5</v>
      </c>
      <c r="P4" s="2"/>
      <c r="Q4" s="1"/>
      <c r="R4" s="24">
        <v>6</v>
      </c>
      <c r="S4" s="3"/>
      <c r="T4" s="1"/>
      <c r="U4" s="24">
        <v>7</v>
      </c>
      <c r="V4" s="2"/>
      <c r="W4" s="1"/>
      <c r="X4" s="24">
        <v>8</v>
      </c>
      <c r="Y4" s="2"/>
      <c r="Z4" s="1"/>
      <c r="AA4" s="24">
        <v>9</v>
      </c>
      <c r="AB4" s="3"/>
      <c r="AC4" s="1"/>
      <c r="AD4" s="24">
        <v>10</v>
      </c>
      <c r="AE4" s="2"/>
      <c r="AF4" s="1"/>
      <c r="AG4" s="24">
        <v>11</v>
      </c>
      <c r="AH4" s="2"/>
      <c r="AI4" s="1"/>
      <c r="AJ4" s="24">
        <v>12</v>
      </c>
      <c r="AK4" s="3"/>
      <c r="AL4" s="1"/>
      <c r="AM4" s="24">
        <v>13</v>
      </c>
      <c r="AN4" s="3"/>
    </row>
    <row r="5" spans="1:41" ht="12" customHeight="1" x14ac:dyDescent="0.2">
      <c r="A5" s="45" t="s">
        <v>1</v>
      </c>
      <c r="B5" s="4"/>
      <c r="C5" s="4"/>
      <c r="D5" s="5"/>
      <c r="E5" s="4"/>
      <c r="F5" s="4"/>
      <c r="G5" s="5"/>
      <c r="H5" s="4"/>
      <c r="I5" s="4"/>
      <c r="J5" s="5"/>
      <c r="K5" s="4"/>
      <c r="L5" s="4"/>
      <c r="M5" s="5"/>
      <c r="N5" s="4"/>
      <c r="O5" s="4"/>
      <c r="P5" s="5"/>
      <c r="Q5" s="4"/>
      <c r="R5" s="4"/>
      <c r="S5" s="5"/>
      <c r="T5" s="4"/>
      <c r="U5" s="4"/>
      <c r="V5" s="5"/>
      <c r="W5" s="4"/>
      <c r="X5" s="4"/>
      <c r="Y5" s="5"/>
      <c r="Z5" s="4"/>
      <c r="AA5" s="4"/>
      <c r="AB5" s="5"/>
      <c r="AC5" s="4"/>
      <c r="AD5" s="4"/>
      <c r="AE5" s="5"/>
      <c r="AF5" s="4"/>
      <c r="AG5" s="4"/>
      <c r="AH5" s="5"/>
      <c r="AI5" s="4"/>
      <c r="AJ5" s="4"/>
      <c r="AK5" s="5"/>
      <c r="AL5" s="4"/>
      <c r="AM5" s="4"/>
      <c r="AN5" s="5"/>
    </row>
    <row r="6" spans="1:41" ht="12" customHeight="1" x14ac:dyDescent="0.2">
      <c r="A6" s="45"/>
      <c r="B6" s="43" t="s">
        <v>10</v>
      </c>
      <c r="C6" s="48"/>
      <c r="D6" s="49"/>
      <c r="E6" s="43" t="s">
        <v>12</v>
      </c>
      <c r="F6" s="48"/>
      <c r="G6" s="49"/>
      <c r="H6" s="43" t="s">
        <v>13</v>
      </c>
      <c r="I6" s="48"/>
      <c r="J6" s="49"/>
      <c r="K6" s="42" t="s">
        <v>8</v>
      </c>
      <c r="L6" s="43"/>
      <c r="M6" s="44"/>
      <c r="N6" s="42" t="s">
        <v>9</v>
      </c>
      <c r="O6" s="43"/>
      <c r="P6" s="44"/>
      <c r="Q6" s="42" t="s">
        <v>14</v>
      </c>
      <c r="R6" s="43"/>
      <c r="S6" s="44"/>
      <c r="T6" s="42" t="s">
        <v>15</v>
      </c>
      <c r="U6" s="43"/>
      <c r="V6" s="44"/>
      <c r="W6" s="42" t="s">
        <v>16</v>
      </c>
      <c r="X6" s="43"/>
      <c r="Y6" s="44"/>
      <c r="Z6" s="42" t="s">
        <v>17</v>
      </c>
      <c r="AA6" s="43"/>
      <c r="AB6" s="44"/>
      <c r="AC6" s="42" t="s">
        <v>18</v>
      </c>
      <c r="AD6" s="43"/>
      <c r="AE6" s="44"/>
      <c r="AF6" s="42" t="s">
        <v>19</v>
      </c>
      <c r="AG6" s="43"/>
      <c r="AH6" s="44"/>
      <c r="AI6" s="42" t="s">
        <v>20</v>
      </c>
      <c r="AJ6" s="43"/>
      <c r="AK6" s="44"/>
      <c r="AL6" s="42" t="s">
        <v>21</v>
      </c>
      <c r="AM6" s="43"/>
      <c r="AN6" s="44"/>
    </row>
    <row r="7" spans="1:41" ht="12" customHeight="1" x14ac:dyDescent="0.2">
      <c r="A7" s="45"/>
      <c r="B7" s="26"/>
      <c r="C7" s="26"/>
      <c r="D7" s="7"/>
      <c r="E7" s="26"/>
      <c r="F7" s="26"/>
      <c r="G7" s="7"/>
      <c r="H7" s="26"/>
      <c r="I7" s="26"/>
      <c r="J7" s="7"/>
      <c r="K7" s="26"/>
      <c r="L7" s="26"/>
      <c r="M7" s="7"/>
      <c r="N7" s="26"/>
      <c r="O7" s="26"/>
      <c r="P7" s="7"/>
      <c r="Q7" s="26"/>
      <c r="R7" s="26"/>
      <c r="S7" s="7"/>
      <c r="T7" s="26"/>
      <c r="U7" s="26"/>
      <c r="V7" s="7"/>
      <c r="W7" s="26"/>
      <c r="X7" s="26"/>
      <c r="Y7" s="7"/>
      <c r="Z7" s="26"/>
      <c r="AA7" s="26"/>
      <c r="AB7" s="7"/>
      <c r="AC7" s="26"/>
      <c r="AD7" s="26"/>
      <c r="AE7" s="7"/>
      <c r="AF7" s="26"/>
      <c r="AG7" s="26"/>
      <c r="AH7" s="7"/>
      <c r="AI7" s="26"/>
      <c r="AJ7" s="26"/>
      <c r="AK7" s="7"/>
      <c r="AL7" s="26"/>
      <c r="AM7" s="26"/>
      <c r="AN7" s="7"/>
    </row>
    <row r="8" spans="1:41" ht="12" customHeight="1" x14ac:dyDescent="0.2">
      <c r="A8" s="46" t="s">
        <v>5</v>
      </c>
      <c r="B8" s="4"/>
      <c r="C8" s="4"/>
      <c r="D8" s="5"/>
      <c r="E8" s="4"/>
      <c r="F8" s="4"/>
      <c r="G8" s="5"/>
      <c r="H8" s="4"/>
      <c r="I8" s="4"/>
      <c r="J8" s="5"/>
      <c r="K8" s="4"/>
      <c r="L8" s="4"/>
      <c r="M8" s="5"/>
      <c r="N8" s="4"/>
      <c r="O8" s="4"/>
      <c r="P8" s="5"/>
      <c r="Q8" s="4"/>
      <c r="R8" s="4"/>
      <c r="S8" s="5"/>
      <c r="T8" s="4"/>
      <c r="U8" s="4"/>
      <c r="V8" s="5"/>
      <c r="W8" s="4"/>
      <c r="X8" s="4"/>
      <c r="Y8" s="5"/>
      <c r="Z8" s="4"/>
      <c r="AA8" s="4"/>
      <c r="AB8" s="5"/>
      <c r="AC8" s="4"/>
      <c r="AD8" s="4"/>
      <c r="AE8" s="5"/>
      <c r="AF8" s="4"/>
      <c r="AG8" s="4"/>
      <c r="AH8" s="5"/>
      <c r="AI8" s="4"/>
      <c r="AJ8" s="4"/>
      <c r="AK8" s="5"/>
      <c r="AL8" s="4"/>
      <c r="AM8" s="4"/>
      <c r="AN8" s="5"/>
    </row>
    <row r="9" spans="1:41" ht="12" customHeight="1" x14ac:dyDescent="0.2">
      <c r="A9" s="46"/>
      <c r="B9" s="8" t="s">
        <v>2</v>
      </c>
      <c r="C9" s="9" t="s">
        <v>3</v>
      </c>
      <c r="D9" s="10" t="s">
        <v>4</v>
      </c>
      <c r="E9" s="8" t="s">
        <v>2</v>
      </c>
      <c r="F9" s="9" t="s">
        <v>3</v>
      </c>
      <c r="G9" s="10" t="s">
        <v>4</v>
      </c>
      <c r="H9" s="8" t="s">
        <v>2</v>
      </c>
      <c r="I9" s="9" t="s">
        <v>3</v>
      </c>
      <c r="J9" s="10" t="s">
        <v>4</v>
      </c>
      <c r="K9" s="8" t="s">
        <v>2</v>
      </c>
      <c r="L9" s="9" t="s">
        <v>3</v>
      </c>
      <c r="M9" s="10" t="s">
        <v>4</v>
      </c>
      <c r="N9" s="8" t="s">
        <v>2</v>
      </c>
      <c r="O9" s="9" t="s">
        <v>3</v>
      </c>
      <c r="P9" s="10" t="s">
        <v>4</v>
      </c>
      <c r="Q9" s="8" t="s">
        <v>2</v>
      </c>
      <c r="R9" s="9" t="s">
        <v>3</v>
      </c>
      <c r="S9" s="10" t="s">
        <v>4</v>
      </c>
      <c r="T9" s="8" t="s">
        <v>2</v>
      </c>
      <c r="U9" s="9" t="s">
        <v>3</v>
      </c>
      <c r="V9" s="10" t="s">
        <v>4</v>
      </c>
      <c r="W9" s="8" t="s">
        <v>2</v>
      </c>
      <c r="X9" s="9" t="s">
        <v>3</v>
      </c>
      <c r="Y9" s="10" t="s">
        <v>4</v>
      </c>
      <c r="Z9" s="8" t="s">
        <v>2</v>
      </c>
      <c r="AA9" s="9" t="s">
        <v>3</v>
      </c>
      <c r="AB9" s="10" t="s">
        <v>4</v>
      </c>
      <c r="AC9" s="8" t="s">
        <v>2</v>
      </c>
      <c r="AD9" s="9" t="s">
        <v>3</v>
      </c>
      <c r="AE9" s="10" t="s">
        <v>4</v>
      </c>
      <c r="AF9" s="8" t="s">
        <v>2</v>
      </c>
      <c r="AG9" s="9" t="s">
        <v>3</v>
      </c>
      <c r="AH9" s="10" t="s">
        <v>4</v>
      </c>
      <c r="AI9" s="8" t="s">
        <v>2</v>
      </c>
      <c r="AJ9" s="9" t="s">
        <v>3</v>
      </c>
      <c r="AK9" s="10" t="s">
        <v>4</v>
      </c>
      <c r="AL9" s="8" t="s">
        <v>2</v>
      </c>
      <c r="AM9" s="9" t="s">
        <v>3</v>
      </c>
      <c r="AN9" s="10" t="s">
        <v>4</v>
      </c>
    </row>
    <row r="10" spans="1:41" ht="12" customHeight="1" x14ac:dyDescent="0.2">
      <c r="A10" s="47"/>
      <c r="B10" s="11"/>
      <c r="C10" s="8" t="s">
        <v>2</v>
      </c>
      <c r="D10" s="6" t="s">
        <v>2</v>
      </c>
      <c r="E10" s="11"/>
      <c r="F10" s="8" t="s">
        <v>2</v>
      </c>
      <c r="G10" s="6" t="s">
        <v>2</v>
      </c>
      <c r="H10" s="11"/>
      <c r="I10" s="8" t="s">
        <v>2</v>
      </c>
      <c r="J10" s="6" t="s">
        <v>2</v>
      </c>
      <c r="K10" s="11"/>
      <c r="L10" s="8" t="s">
        <v>2</v>
      </c>
      <c r="M10" s="6" t="s">
        <v>2</v>
      </c>
      <c r="N10" s="11"/>
      <c r="O10" s="8" t="s">
        <v>2</v>
      </c>
      <c r="P10" s="6" t="s">
        <v>2</v>
      </c>
      <c r="Q10" s="11"/>
      <c r="R10" s="8" t="s">
        <v>2</v>
      </c>
      <c r="S10" s="6" t="s">
        <v>2</v>
      </c>
      <c r="T10" s="11"/>
      <c r="U10" s="8" t="s">
        <v>2</v>
      </c>
      <c r="V10" s="6" t="s">
        <v>2</v>
      </c>
      <c r="W10" s="11"/>
      <c r="X10" s="8" t="s">
        <v>2</v>
      </c>
      <c r="Y10" s="6" t="s">
        <v>2</v>
      </c>
      <c r="Z10" s="11"/>
      <c r="AA10" s="8" t="s">
        <v>2</v>
      </c>
      <c r="AB10" s="6" t="s">
        <v>2</v>
      </c>
      <c r="AC10" s="11"/>
      <c r="AD10" s="8" t="s">
        <v>2</v>
      </c>
      <c r="AE10" s="6" t="s">
        <v>2</v>
      </c>
      <c r="AF10" s="11"/>
      <c r="AG10" s="8" t="s">
        <v>2</v>
      </c>
      <c r="AH10" s="6" t="s">
        <v>2</v>
      </c>
      <c r="AI10" s="11"/>
      <c r="AJ10" s="8" t="s">
        <v>2</v>
      </c>
      <c r="AK10" s="6" t="s">
        <v>2</v>
      </c>
      <c r="AL10" s="11"/>
      <c r="AM10" s="8" t="s">
        <v>2</v>
      </c>
      <c r="AN10" s="6" t="s">
        <v>2</v>
      </c>
    </row>
    <row r="11" spans="1:41" ht="15" customHeight="1" x14ac:dyDescent="0.2">
      <c r="A11" s="30" t="s">
        <v>22</v>
      </c>
      <c r="B11" s="22">
        <v>17989.256000000001</v>
      </c>
      <c r="C11" s="22">
        <v>16062</v>
      </c>
      <c r="D11" s="23">
        <v>1927.2560000000001</v>
      </c>
      <c r="E11" s="22">
        <v>29196.626</v>
      </c>
      <c r="F11" s="22">
        <v>19327.616000000002</v>
      </c>
      <c r="G11" s="23">
        <v>9869.01</v>
      </c>
      <c r="H11" s="22">
        <v>726.90300000000002</v>
      </c>
      <c r="I11" s="22">
        <v>471</v>
      </c>
      <c r="J11" s="23">
        <v>255.90299999999999</v>
      </c>
      <c r="K11" s="22">
        <v>16970.914000000001</v>
      </c>
      <c r="L11" s="22">
        <v>7035</v>
      </c>
      <c r="M11" s="23">
        <v>9935.9140000000007</v>
      </c>
      <c r="N11" s="22">
        <v>17245.906999999999</v>
      </c>
      <c r="O11" s="22">
        <v>4358</v>
      </c>
      <c r="P11" s="23">
        <v>12887.906999999999</v>
      </c>
      <c r="Q11" s="22">
        <v>7226.6350000000002</v>
      </c>
      <c r="R11" s="22">
        <v>5222</v>
      </c>
      <c r="S11" s="23">
        <v>2004.635</v>
      </c>
      <c r="T11" s="22">
        <v>6202.5739999999996</v>
      </c>
      <c r="U11" s="22">
        <v>4841</v>
      </c>
      <c r="V11" s="23">
        <v>1361.5740000000001</v>
      </c>
      <c r="W11" s="22">
        <v>767</v>
      </c>
      <c r="X11" s="22">
        <v>627</v>
      </c>
      <c r="Y11" s="23">
        <v>140</v>
      </c>
      <c r="Z11" s="22">
        <v>11797.566999999999</v>
      </c>
      <c r="AA11" s="22">
        <v>9814</v>
      </c>
      <c r="AB11" s="23">
        <v>1983.567</v>
      </c>
      <c r="AC11" s="22">
        <v>260.93599999999998</v>
      </c>
      <c r="AD11" s="22">
        <v>191.82900000000001</v>
      </c>
      <c r="AE11" s="23">
        <v>69.106999999999999</v>
      </c>
      <c r="AF11" s="22">
        <v>2741.085</v>
      </c>
      <c r="AG11" s="22">
        <v>2218</v>
      </c>
      <c r="AH11" s="23">
        <v>523.08500000000004</v>
      </c>
      <c r="AI11" s="22">
        <v>494</v>
      </c>
      <c r="AJ11" s="22">
        <v>362</v>
      </c>
      <c r="AK11" s="23">
        <v>132</v>
      </c>
      <c r="AL11" s="22">
        <v>10194.563</v>
      </c>
      <c r="AM11" s="22">
        <v>4938.7110000000002</v>
      </c>
      <c r="AN11" s="23">
        <v>5255.8519999999999</v>
      </c>
    </row>
    <row r="12" spans="1:41" ht="15" customHeight="1" x14ac:dyDescent="0.2">
      <c r="A12" s="34" t="s">
        <v>23</v>
      </c>
      <c r="B12" s="35">
        <v>2380.94</v>
      </c>
      <c r="C12" s="35">
        <v>2080</v>
      </c>
      <c r="D12" s="36">
        <v>300.94</v>
      </c>
      <c r="E12" s="35">
        <v>9540.8860000000004</v>
      </c>
      <c r="F12" s="35">
        <v>6011.5940000000001</v>
      </c>
      <c r="G12" s="36">
        <v>3529.2919999999999</v>
      </c>
      <c r="H12" s="35">
        <v>219.22</v>
      </c>
      <c r="I12" s="35">
        <v>140</v>
      </c>
      <c r="J12" s="36">
        <v>79.22</v>
      </c>
      <c r="K12" s="35">
        <v>8010.2870000000003</v>
      </c>
      <c r="L12" s="35">
        <v>2718</v>
      </c>
      <c r="M12" s="36">
        <v>5292.2870000000003</v>
      </c>
      <c r="N12" s="35">
        <v>4835.2920000000004</v>
      </c>
      <c r="O12" s="35">
        <v>1366</v>
      </c>
      <c r="P12" s="36">
        <v>3469.2919999999999</v>
      </c>
      <c r="Q12" s="35">
        <v>2242.402</v>
      </c>
      <c r="R12" s="35">
        <v>1537</v>
      </c>
      <c r="S12" s="36">
        <v>705.40200000000004</v>
      </c>
      <c r="T12" s="35">
        <v>1350.2850000000001</v>
      </c>
      <c r="U12" s="35">
        <v>1123</v>
      </c>
      <c r="V12" s="36">
        <v>227.285</v>
      </c>
      <c r="W12" s="35">
        <v>190</v>
      </c>
      <c r="X12" s="35">
        <v>153</v>
      </c>
      <c r="Y12" s="36">
        <v>37</v>
      </c>
      <c r="Z12" s="35">
        <v>2567.3530000000001</v>
      </c>
      <c r="AA12" s="35">
        <v>2083</v>
      </c>
      <c r="AB12" s="36">
        <v>484.35300000000001</v>
      </c>
      <c r="AC12" s="35">
        <v>70.141999999999996</v>
      </c>
      <c r="AD12" s="35">
        <v>47</v>
      </c>
      <c r="AE12" s="36">
        <v>23.141999999999999</v>
      </c>
      <c r="AF12" s="35">
        <v>880.29300000000001</v>
      </c>
      <c r="AG12" s="35">
        <v>714</v>
      </c>
      <c r="AH12" s="36">
        <v>166.29300000000001</v>
      </c>
      <c r="AI12" s="35">
        <v>126</v>
      </c>
      <c r="AJ12" s="35">
        <v>96</v>
      </c>
      <c r="AK12" s="36">
        <v>30</v>
      </c>
      <c r="AL12" s="35">
        <v>2675.88</v>
      </c>
      <c r="AM12" s="35">
        <v>1279.5999999999999</v>
      </c>
      <c r="AN12" s="36">
        <v>1396.28</v>
      </c>
    </row>
    <row r="13" spans="1:41" ht="15" customHeight="1" x14ac:dyDescent="0.2">
      <c r="A13" s="34" t="s">
        <v>24</v>
      </c>
      <c r="B13" s="35">
        <v>1737.0239999999999</v>
      </c>
      <c r="C13" s="35">
        <v>1506</v>
      </c>
      <c r="D13" s="36">
        <v>231.024</v>
      </c>
      <c r="E13" s="35">
        <v>4046.7260000000001</v>
      </c>
      <c r="F13" s="35">
        <v>2418.933</v>
      </c>
      <c r="G13" s="36">
        <v>1627.7929999999999</v>
      </c>
      <c r="H13" s="35">
        <v>103.21599999999999</v>
      </c>
      <c r="I13" s="35">
        <v>65</v>
      </c>
      <c r="J13" s="36">
        <v>38.216000000000001</v>
      </c>
      <c r="K13" s="35">
        <v>2154.7820000000002</v>
      </c>
      <c r="L13" s="35">
        <v>793</v>
      </c>
      <c r="M13" s="36">
        <v>1361.7819999999999</v>
      </c>
      <c r="N13" s="35">
        <v>3584.393</v>
      </c>
      <c r="O13" s="35">
        <v>761</v>
      </c>
      <c r="P13" s="36">
        <v>2823.393</v>
      </c>
      <c r="Q13" s="35">
        <v>783.38400000000001</v>
      </c>
      <c r="R13" s="35">
        <v>550</v>
      </c>
      <c r="S13" s="36">
        <v>233.38399999999999</v>
      </c>
      <c r="T13" s="35">
        <v>587.827</v>
      </c>
      <c r="U13" s="35">
        <v>502</v>
      </c>
      <c r="V13" s="36">
        <v>85.826999999999998</v>
      </c>
      <c r="W13" s="35">
        <v>207</v>
      </c>
      <c r="X13" s="35">
        <v>182</v>
      </c>
      <c r="Y13" s="36">
        <v>25</v>
      </c>
      <c r="Z13" s="35">
        <v>1331.6679999999999</v>
      </c>
      <c r="AA13" s="35">
        <v>1025</v>
      </c>
      <c r="AB13" s="36">
        <v>306.66800000000001</v>
      </c>
      <c r="AC13" s="35">
        <v>21</v>
      </c>
      <c r="AD13" s="35">
        <v>13</v>
      </c>
      <c r="AE13" s="36">
        <v>8</v>
      </c>
      <c r="AF13" s="35">
        <v>240.465</v>
      </c>
      <c r="AG13" s="35">
        <v>183</v>
      </c>
      <c r="AH13" s="36">
        <v>57.465000000000003</v>
      </c>
      <c r="AI13" s="35">
        <v>54</v>
      </c>
      <c r="AJ13" s="35">
        <v>43</v>
      </c>
      <c r="AK13" s="36">
        <v>11</v>
      </c>
      <c r="AL13" s="35">
        <v>1631.491</v>
      </c>
      <c r="AM13" s="35">
        <v>714.28499999999997</v>
      </c>
      <c r="AN13" s="36">
        <v>917.20600000000002</v>
      </c>
    </row>
    <row r="14" spans="1:41" ht="15" customHeight="1" x14ac:dyDescent="0.2">
      <c r="A14" s="34" t="s">
        <v>25</v>
      </c>
      <c r="B14" s="35">
        <v>4717.9309999999996</v>
      </c>
      <c r="C14" s="35">
        <v>4171</v>
      </c>
      <c r="D14" s="36">
        <v>546.93100000000004</v>
      </c>
      <c r="E14" s="35">
        <v>10705.547</v>
      </c>
      <c r="F14" s="35">
        <v>6976</v>
      </c>
      <c r="G14" s="36">
        <v>3729.547</v>
      </c>
      <c r="H14" s="35">
        <v>203.232</v>
      </c>
      <c r="I14" s="35">
        <v>122</v>
      </c>
      <c r="J14" s="36">
        <v>81.231999999999999</v>
      </c>
      <c r="K14" s="35">
        <v>7279.3559999999998</v>
      </c>
      <c r="L14" s="35">
        <v>2750</v>
      </c>
      <c r="M14" s="36">
        <v>4529.3559999999998</v>
      </c>
      <c r="N14" s="35">
        <v>6149.7380000000003</v>
      </c>
      <c r="O14" s="35">
        <v>1706</v>
      </c>
      <c r="P14" s="36">
        <v>4443.7380000000003</v>
      </c>
      <c r="Q14" s="35">
        <v>3019.163</v>
      </c>
      <c r="R14" s="35">
        <v>2001</v>
      </c>
      <c r="S14" s="36">
        <v>1018.163</v>
      </c>
      <c r="T14" s="35">
        <v>2283.1060000000002</v>
      </c>
      <c r="U14" s="35">
        <v>1748</v>
      </c>
      <c r="V14" s="36">
        <v>535.10599999999999</v>
      </c>
      <c r="W14" s="35">
        <v>311</v>
      </c>
      <c r="X14" s="35">
        <v>237</v>
      </c>
      <c r="Y14" s="36">
        <v>74</v>
      </c>
      <c r="Z14" s="35">
        <v>3607.0889999999999</v>
      </c>
      <c r="AA14" s="35">
        <v>2843</v>
      </c>
      <c r="AB14" s="36">
        <v>764.08900000000006</v>
      </c>
      <c r="AC14" s="35">
        <v>110.137</v>
      </c>
      <c r="AD14" s="35">
        <v>81.933000000000007</v>
      </c>
      <c r="AE14" s="36">
        <v>28.204000000000001</v>
      </c>
      <c r="AF14" s="35">
        <v>997.21100000000001</v>
      </c>
      <c r="AG14" s="35">
        <v>786</v>
      </c>
      <c r="AH14" s="36">
        <v>211.21100000000001</v>
      </c>
      <c r="AI14" s="35">
        <v>185</v>
      </c>
      <c r="AJ14" s="35">
        <v>120</v>
      </c>
      <c r="AK14" s="36">
        <v>65</v>
      </c>
      <c r="AL14" s="35">
        <v>3009.4630000000002</v>
      </c>
      <c r="AM14" s="35">
        <v>1429.4749999999999</v>
      </c>
      <c r="AN14" s="36">
        <v>1579.9880000000001</v>
      </c>
    </row>
    <row r="15" spans="1:41" ht="15" customHeight="1" x14ac:dyDescent="0.2">
      <c r="A15" s="34" t="s">
        <v>26</v>
      </c>
      <c r="B15" s="35">
        <v>1820.43</v>
      </c>
      <c r="C15" s="35">
        <v>1528</v>
      </c>
      <c r="D15" s="36">
        <v>292.43</v>
      </c>
      <c r="E15" s="35">
        <v>5904.4470000000001</v>
      </c>
      <c r="F15" s="35">
        <v>3218.5810000000001</v>
      </c>
      <c r="G15" s="36">
        <v>2685.866</v>
      </c>
      <c r="H15" s="35">
        <v>124.78700000000001</v>
      </c>
      <c r="I15" s="35">
        <v>61</v>
      </c>
      <c r="J15" s="36">
        <v>63.786999999999999</v>
      </c>
      <c r="K15" s="35">
        <v>4368.9709999999995</v>
      </c>
      <c r="L15" s="35">
        <v>1259</v>
      </c>
      <c r="M15" s="36">
        <v>3109.971</v>
      </c>
      <c r="N15" s="35">
        <v>3479.2750000000001</v>
      </c>
      <c r="O15" s="35">
        <v>763</v>
      </c>
      <c r="P15" s="36">
        <v>2716.2750000000001</v>
      </c>
      <c r="Q15" s="35">
        <v>1306.924</v>
      </c>
      <c r="R15" s="35">
        <v>884</v>
      </c>
      <c r="S15" s="36">
        <v>422.92399999999998</v>
      </c>
      <c r="T15" s="35">
        <v>666.58799999999997</v>
      </c>
      <c r="U15" s="35">
        <v>525</v>
      </c>
      <c r="V15" s="36">
        <v>141.58799999999999</v>
      </c>
      <c r="W15" s="35">
        <v>151</v>
      </c>
      <c r="X15" s="35">
        <v>124</v>
      </c>
      <c r="Y15" s="36">
        <v>27</v>
      </c>
      <c r="Z15" s="35">
        <v>1799.8050000000001</v>
      </c>
      <c r="AA15" s="35">
        <v>1357</v>
      </c>
      <c r="AB15" s="36">
        <v>442.80500000000001</v>
      </c>
      <c r="AC15" s="35">
        <v>56</v>
      </c>
      <c r="AD15" s="35">
        <v>38</v>
      </c>
      <c r="AE15" s="36">
        <v>18</v>
      </c>
      <c r="AF15" s="35">
        <v>367.64499999999998</v>
      </c>
      <c r="AG15" s="35">
        <v>275</v>
      </c>
      <c r="AH15" s="36">
        <v>92.644999999999996</v>
      </c>
      <c r="AI15" s="35">
        <v>81</v>
      </c>
      <c r="AJ15" s="35">
        <v>57</v>
      </c>
      <c r="AK15" s="36">
        <v>24</v>
      </c>
      <c r="AL15" s="35">
        <v>1308.106</v>
      </c>
      <c r="AM15" s="35">
        <v>614.48</v>
      </c>
      <c r="AN15" s="36">
        <v>693.62599999999998</v>
      </c>
    </row>
    <row r="16" spans="1:41" ht="15" customHeight="1" x14ac:dyDescent="0.2">
      <c r="A16" s="34" t="s">
        <v>27</v>
      </c>
      <c r="B16" s="35">
        <v>2636.24</v>
      </c>
      <c r="C16" s="35">
        <v>2346</v>
      </c>
      <c r="D16" s="36">
        <v>290.24</v>
      </c>
      <c r="E16" s="35">
        <v>6050.7979999999998</v>
      </c>
      <c r="F16" s="35">
        <v>4174</v>
      </c>
      <c r="G16" s="36">
        <v>1876.798</v>
      </c>
      <c r="H16" s="35">
        <v>150.166</v>
      </c>
      <c r="I16" s="35">
        <v>109</v>
      </c>
      <c r="J16" s="36">
        <v>41.165999999999997</v>
      </c>
      <c r="K16" s="35">
        <v>2709.9969999999998</v>
      </c>
      <c r="L16" s="35">
        <v>1057</v>
      </c>
      <c r="M16" s="36">
        <v>1652.9970000000001</v>
      </c>
      <c r="N16" s="35">
        <v>3001.8319999999999</v>
      </c>
      <c r="O16" s="35">
        <v>901</v>
      </c>
      <c r="P16" s="36">
        <v>2100.8319999999999</v>
      </c>
      <c r="Q16" s="35">
        <v>1326.2760000000001</v>
      </c>
      <c r="R16" s="35">
        <v>995</v>
      </c>
      <c r="S16" s="36">
        <v>331.27600000000001</v>
      </c>
      <c r="T16" s="35">
        <v>890</v>
      </c>
      <c r="U16" s="35">
        <v>738</v>
      </c>
      <c r="V16" s="36">
        <v>152</v>
      </c>
      <c r="W16" s="35">
        <v>188</v>
      </c>
      <c r="X16" s="35">
        <v>166</v>
      </c>
      <c r="Y16" s="36">
        <v>22</v>
      </c>
      <c r="Z16" s="35">
        <v>1773.75</v>
      </c>
      <c r="AA16" s="35">
        <v>1431</v>
      </c>
      <c r="AB16" s="36">
        <v>342.75</v>
      </c>
      <c r="AC16" s="35">
        <v>66</v>
      </c>
      <c r="AD16" s="35">
        <v>42</v>
      </c>
      <c r="AE16" s="36">
        <v>24</v>
      </c>
      <c r="AF16" s="35">
        <v>479.55700000000002</v>
      </c>
      <c r="AG16" s="35">
        <v>366</v>
      </c>
      <c r="AH16" s="36">
        <v>113.557</v>
      </c>
      <c r="AI16" s="35">
        <v>93</v>
      </c>
      <c r="AJ16" s="35">
        <v>69</v>
      </c>
      <c r="AK16" s="36">
        <v>24</v>
      </c>
      <c r="AL16" s="35">
        <v>1395.367</v>
      </c>
      <c r="AM16" s="35">
        <v>722.44799999999998</v>
      </c>
      <c r="AN16" s="36">
        <v>672.91899999999998</v>
      </c>
    </row>
    <row r="17" spans="1:40" ht="15" customHeight="1" x14ac:dyDescent="0.2">
      <c r="A17" s="34" t="s">
        <v>28</v>
      </c>
      <c r="B17" s="35">
        <v>3396.9749999999999</v>
      </c>
      <c r="C17" s="35">
        <v>2896</v>
      </c>
      <c r="D17" s="36">
        <v>500.97500000000002</v>
      </c>
      <c r="E17" s="35">
        <v>12005.483</v>
      </c>
      <c r="F17" s="35">
        <v>6756.8909999999996</v>
      </c>
      <c r="G17" s="36">
        <v>5248.5919999999996</v>
      </c>
      <c r="H17" s="35">
        <v>283.52300000000002</v>
      </c>
      <c r="I17" s="35">
        <v>169</v>
      </c>
      <c r="J17" s="36">
        <v>114.523</v>
      </c>
      <c r="K17" s="35">
        <v>13026.887000000001</v>
      </c>
      <c r="L17" s="35">
        <v>2663</v>
      </c>
      <c r="M17" s="36">
        <v>10363.887000000001</v>
      </c>
      <c r="N17" s="35">
        <v>6617.1210000000001</v>
      </c>
      <c r="O17" s="35">
        <v>1483</v>
      </c>
      <c r="P17" s="36">
        <v>5134.1210000000001</v>
      </c>
      <c r="Q17" s="35">
        <v>2569.1089999999999</v>
      </c>
      <c r="R17" s="35">
        <v>1652</v>
      </c>
      <c r="S17" s="36">
        <v>917.10900000000004</v>
      </c>
      <c r="T17" s="35">
        <v>1435.7850000000001</v>
      </c>
      <c r="U17" s="35">
        <v>1158</v>
      </c>
      <c r="V17" s="36">
        <v>277.78500000000003</v>
      </c>
      <c r="W17" s="35">
        <v>255</v>
      </c>
      <c r="X17" s="35">
        <v>201</v>
      </c>
      <c r="Y17" s="36">
        <v>54</v>
      </c>
      <c r="Z17" s="35">
        <v>2561.3270000000002</v>
      </c>
      <c r="AA17" s="35">
        <v>1820</v>
      </c>
      <c r="AB17" s="36">
        <v>741.327</v>
      </c>
      <c r="AC17" s="35">
        <v>107.899</v>
      </c>
      <c r="AD17" s="35">
        <v>70.856999999999999</v>
      </c>
      <c r="AE17" s="36">
        <v>37.042000000000002</v>
      </c>
      <c r="AF17" s="35">
        <v>935.46799999999996</v>
      </c>
      <c r="AG17" s="35">
        <v>739</v>
      </c>
      <c r="AH17" s="36">
        <v>196.46799999999999</v>
      </c>
      <c r="AI17" s="35">
        <v>173</v>
      </c>
      <c r="AJ17" s="35">
        <v>121</v>
      </c>
      <c r="AK17" s="36">
        <v>52</v>
      </c>
      <c r="AL17" s="35">
        <v>3084.3969999999999</v>
      </c>
      <c r="AM17" s="35">
        <v>1455.52</v>
      </c>
      <c r="AN17" s="36">
        <v>1628.877</v>
      </c>
    </row>
    <row r="18" spans="1:40" ht="15" customHeight="1" x14ac:dyDescent="0.2">
      <c r="A18" s="34" t="s">
        <v>29</v>
      </c>
      <c r="B18" s="35">
        <v>3682.6950000000002</v>
      </c>
      <c r="C18" s="35">
        <v>3216</v>
      </c>
      <c r="D18" s="36">
        <v>466.69499999999999</v>
      </c>
      <c r="E18" s="35">
        <v>6330.1859999999997</v>
      </c>
      <c r="F18" s="35">
        <v>4158</v>
      </c>
      <c r="G18" s="36">
        <v>2172.1860000000001</v>
      </c>
      <c r="H18" s="35">
        <v>119.23699999999999</v>
      </c>
      <c r="I18" s="35">
        <v>69</v>
      </c>
      <c r="J18" s="36">
        <v>50.237000000000002</v>
      </c>
      <c r="K18" s="35">
        <v>2922.8380000000002</v>
      </c>
      <c r="L18" s="35">
        <v>1091</v>
      </c>
      <c r="M18" s="36">
        <v>1831.838</v>
      </c>
      <c r="N18" s="35">
        <v>2858.2570000000001</v>
      </c>
      <c r="O18" s="35">
        <v>744</v>
      </c>
      <c r="P18" s="36">
        <v>2114.2570000000001</v>
      </c>
      <c r="Q18" s="35">
        <v>1464.827</v>
      </c>
      <c r="R18" s="35">
        <v>1039</v>
      </c>
      <c r="S18" s="36">
        <v>425.827</v>
      </c>
      <c r="T18" s="35">
        <v>1044</v>
      </c>
      <c r="U18" s="35">
        <v>840</v>
      </c>
      <c r="V18" s="36">
        <v>204</v>
      </c>
      <c r="W18" s="35">
        <v>110</v>
      </c>
      <c r="X18" s="35">
        <v>89</v>
      </c>
      <c r="Y18" s="36">
        <v>21</v>
      </c>
      <c r="Z18" s="35">
        <v>2077.1179999999999</v>
      </c>
      <c r="AA18" s="35">
        <v>1707</v>
      </c>
      <c r="AB18" s="36">
        <v>370.11799999999999</v>
      </c>
      <c r="AC18" s="35">
        <v>44.856999999999999</v>
      </c>
      <c r="AD18" s="35">
        <v>34.856999999999999</v>
      </c>
      <c r="AE18" s="36">
        <v>10</v>
      </c>
      <c r="AF18" s="35">
        <v>500.31599999999997</v>
      </c>
      <c r="AG18" s="35">
        <v>398</v>
      </c>
      <c r="AH18" s="36">
        <v>102.316</v>
      </c>
      <c r="AI18" s="35">
        <v>68</v>
      </c>
      <c r="AJ18" s="35">
        <v>51</v>
      </c>
      <c r="AK18" s="36">
        <v>17</v>
      </c>
      <c r="AL18" s="35">
        <v>1448.65</v>
      </c>
      <c r="AM18" s="35">
        <v>758</v>
      </c>
      <c r="AN18" s="36">
        <v>690.65</v>
      </c>
    </row>
    <row r="19" spans="1:40" ht="15" customHeight="1" x14ac:dyDescent="0.2">
      <c r="A19" s="34" t="s">
        <v>30</v>
      </c>
      <c r="B19" s="35">
        <v>3493.5830000000001</v>
      </c>
      <c r="C19" s="35">
        <v>3051</v>
      </c>
      <c r="D19" s="36">
        <v>442.58300000000003</v>
      </c>
      <c r="E19" s="35">
        <v>11060.492</v>
      </c>
      <c r="F19" s="35">
        <v>6473.8689999999997</v>
      </c>
      <c r="G19" s="36">
        <v>4586.6229999999996</v>
      </c>
      <c r="H19" s="35">
        <v>293.68700000000001</v>
      </c>
      <c r="I19" s="35">
        <v>160</v>
      </c>
      <c r="J19" s="36">
        <v>133.68700000000001</v>
      </c>
      <c r="K19" s="35">
        <v>9223.3970000000008</v>
      </c>
      <c r="L19" s="35">
        <v>2499</v>
      </c>
      <c r="M19" s="36">
        <v>6724.3969999999999</v>
      </c>
      <c r="N19" s="35">
        <v>5535.4539999999997</v>
      </c>
      <c r="O19" s="35">
        <v>1348</v>
      </c>
      <c r="P19" s="36">
        <v>4187.4539999999997</v>
      </c>
      <c r="Q19" s="35">
        <v>2608.4720000000002</v>
      </c>
      <c r="R19" s="35">
        <v>1674</v>
      </c>
      <c r="S19" s="36">
        <v>934.47199999999998</v>
      </c>
      <c r="T19" s="35">
        <v>1165.009</v>
      </c>
      <c r="U19" s="35">
        <v>889</v>
      </c>
      <c r="V19" s="36">
        <v>276.00900000000001</v>
      </c>
      <c r="W19" s="35">
        <v>235</v>
      </c>
      <c r="X19" s="35">
        <v>188</v>
      </c>
      <c r="Y19" s="36">
        <v>47</v>
      </c>
      <c r="Z19" s="35">
        <v>2567.8180000000002</v>
      </c>
      <c r="AA19" s="35">
        <v>1809</v>
      </c>
      <c r="AB19" s="36">
        <v>758.81799999999998</v>
      </c>
      <c r="AC19" s="35">
        <v>102.024</v>
      </c>
      <c r="AD19" s="35">
        <v>61.832999999999998</v>
      </c>
      <c r="AE19" s="36">
        <v>40.191000000000003</v>
      </c>
      <c r="AF19" s="35">
        <v>859.37300000000005</v>
      </c>
      <c r="AG19" s="35">
        <v>649</v>
      </c>
      <c r="AH19" s="36">
        <v>210.37299999999999</v>
      </c>
      <c r="AI19" s="35">
        <v>137</v>
      </c>
      <c r="AJ19" s="35">
        <v>91</v>
      </c>
      <c r="AK19" s="36">
        <v>46</v>
      </c>
      <c r="AL19" s="35">
        <v>2359.663</v>
      </c>
      <c r="AM19" s="35">
        <v>1114.3630000000001</v>
      </c>
      <c r="AN19" s="36">
        <v>1245.3</v>
      </c>
    </row>
    <row r="20" spans="1:40" ht="15" customHeight="1" x14ac:dyDescent="0.2">
      <c r="A20" s="34" t="s">
        <v>31</v>
      </c>
      <c r="B20" s="35">
        <v>1060.1579999999999</v>
      </c>
      <c r="C20" s="35">
        <v>906</v>
      </c>
      <c r="D20" s="36">
        <v>154.15799999999999</v>
      </c>
      <c r="E20" s="35">
        <v>5062.9709999999995</v>
      </c>
      <c r="F20" s="35">
        <v>3345</v>
      </c>
      <c r="G20" s="36">
        <v>1717.971</v>
      </c>
      <c r="H20" s="35">
        <v>122.414</v>
      </c>
      <c r="I20" s="35">
        <v>68</v>
      </c>
      <c r="J20" s="36">
        <v>54.414000000000001</v>
      </c>
      <c r="K20" s="35">
        <v>2250.7150000000001</v>
      </c>
      <c r="L20" s="35">
        <v>616</v>
      </c>
      <c r="M20" s="36">
        <v>1634.7149999999999</v>
      </c>
      <c r="N20" s="35">
        <v>3209.0169999999998</v>
      </c>
      <c r="O20" s="35">
        <v>818</v>
      </c>
      <c r="P20" s="36">
        <v>2391.0169999999998</v>
      </c>
      <c r="Q20" s="35">
        <v>791.08600000000001</v>
      </c>
      <c r="R20" s="35">
        <v>577</v>
      </c>
      <c r="S20" s="36">
        <v>214.08600000000001</v>
      </c>
      <c r="T20" s="35">
        <v>829.93100000000004</v>
      </c>
      <c r="U20" s="35">
        <v>586</v>
      </c>
      <c r="V20" s="36">
        <v>243.93100000000001</v>
      </c>
      <c r="W20" s="35">
        <v>88</v>
      </c>
      <c r="X20" s="35">
        <v>71</v>
      </c>
      <c r="Y20" s="36">
        <v>17</v>
      </c>
      <c r="Z20" s="35">
        <v>1232.047</v>
      </c>
      <c r="AA20" s="35">
        <v>896</v>
      </c>
      <c r="AB20" s="36">
        <v>336.04700000000003</v>
      </c>
      <c r="AC20" s="35">
        <v>22</v>
      </c>
      <c r="AD20" s="35">
        <v>10</v>
      </c>
      <c r="AE20" s="36">
        <v>12</v>
      </c>
      <c r="AF20" s="35">
        <v>236</v>
      </c>
      <c r="AG20" s="35">
        <v>186</v>
      </c>
      <c r="AH20" s="36">
        <v>50</v>
      </c>
      <c r="AI20" s="35">
        <v>52</v>
      </c>
      <c r="AJ20" s="35">
        <v>42</v>
      </c>
      <c r="AK20" s="36">
        <v>10</v>
      </c>
      <c r="AL20" s="35">
        <v>1186.6420000000001</v>
      </c>
      <c r="AM20" s="35">
        <v>544.54499999999996</v>
      </c>
      <c r="AN20" s="36">
        <v>642.09699999999998</v>
      </c>
    </row>
    <row r="21" spans="1:40" ht="15" customHeight="1" x14ac:dyDescent="0.2">
      <c r="A21" s="34" t="s">
        <v>32</v>
      </c>
      <c r="B21" s="35">
        <v>2038.9269999999999</v>
      </c>
      <c r="C21" s="35">
        <v>1797</v>
      </c>
      <c r="D21" s="36">
        <v>241.92699999999999</v>
      </c>
      <c r="E21" s="35">
        <v>3906.7440000000001</v>
      </c>
      <c r="F21" s="35">
        <v>2438.8119999999999</v>
      </c>
      <c r="G21" s="36">
        <v>1467.932</v>
      </c>
      <c r="H21" s="35">
        <v>128.61799999999999</v>
      </c>
      <c r="I21" s="35">
        <v>77</v>
      </c>
      <c r="J21" s="36">
        <v>51.618000000000002</v>
      </c>
      <c r="K21" s="35">
        <v>2885.9380000000001</v>
      </c>
      <c r="L21" s="35">
        <v>921</v>
      </c>
      <c r="M21" s="36">
        <v>1964.9380000000001</v>
      </c>
      <c r="N21" s="35">
        <v>2829.299</v>
      </c>
      <c r="O21" s="35">
        <v>758</v>
      </c>
      <c r="P21" s="36">
        <v>2071.299</v>
      </c>
      <c r="Q21" s="35">
        <v>1137.0450000000001</v>
      </c>
      <c r="R21" s="35">
        <v>756</v>
      </c>
      <c r="S21" s="36">
        <v>381.04500000000002</v>
      </c>
      <c r="T21" s="35">
        <v>646.86199999999997</v>
      </c>
      <c r="U21" s="35">
        <v>501</v>
      </c>
      <c r="V21" s="36">
        <v>145.86199999999999</v>
      </c>
      <c r="W21" s="35">
        <v>115</v>
      </c>
      <c r="X21" s="35">
        <v>93</v>
      </c>
      <c r="Y21" s="36">
        <v>22</v>
      </c>
      <c r="Z21" s="35">
        <v>1391.229</v>
      </c>
      <c r="AA21" s="35">
        <v>1134</v>
      </c>
      <c r="AB21" s="36">
        <v>257.22899999999998</v>
      </c>
      <c r="AC21" s="35">
        <v>44.061999999999998</v>
      </c>
      <c r="AD21" s="35">
        <v>29</v>
      </c>
      <c r="AE21" s="36">
        <v>15.061999999999999</v>
      </c>
      <c r="AF21" s="35">
        <v>313.43700000000001</v>
      </c>
      <c r="AG21" s="35">
        <v>246</v>
      </c>
      <c r="AH21" s="36">
        <v>67.436999999999998</v>
      </c>
      <c r="AI21" s="35">
        <v>67</v>
      </c>
      <c r="AJ21" s="35">
        <v>42</v>
      </c>
      <c r="AK21" s="36">
        <v>25</v>
      </c>
      <c r="AL21" s="35">
        <v>1135.82</v>
      </c>
      <c r="AM21" s="35">
        <v>499.07600000000002</v>
      </c>
      <c r="AN21" s="36">
        <v>636.74400000000003</v>
      </c>
    </row>
    <row r="22" spans="1:40" ht="15" customHeight="1" x14ac:dyDescent="0.2">
      <c r="A22" s="34" t="s">
        <v>33</v>
      </c>
      <c r="B22" s="35">
        <v>155</v>
      </c>
      <c r="C22" s="35">
        <v>151</v>
      </c>
      <c r="D22" s="36">
        <v>4</v>
      </c>
      <c r="E22" s="35">
        <v>676.99699999999996</v>
      </c>
      <c r="F22" s="35">
        <v>451</v>
      </c>
      <c r="G22" s="36">
        <v>225.99700000000001</v>
      </c>
      <c r="H22" s="35">
        <v>8</v>
      </c>
      <c r="I22" s="35">
        <v>7</v>
      </c>
      <c r="J22" s="36">
        <v>1</v>
      </c>
      <c r="K22" s="35">
        <v>220.96600000000001</v>
      </c>
      <c r="L22" s="35">
        <v>94</v>
      </c>
      <c r="M22" s="36">
        <v>126.96599999999999</v>
      </c>
      <c r="N22" s="35">
        <v>461</v>
      </c>
      <c r="O22" s="35">
        <v>141</v>
      </c>
      <c r="P22" s="36">
        <v>320</v>
      </c>
      <c r="Q22" s="35">
        <v>88</v>
      </c>
      <c r="R22" s="35">
        <v>77</v>
      </c>
      <c r="S22" s="36">
        <v>11</v>
      </c>
      <c r="T22" s="35">
        <v>52</v>
      </c>
      <c r="U22" s="35">
        <v>44</v>
      </c>
      <c r="V22" s="36">
        <v>8</v>
      </c>
      <c r="W22" s="35">
        <v>13</v>
      </c>
      <c r="X22" s="35">
        <v>10</v>
      </c>
      <c r="Y22" s="36">
        <v>3</v>
      </c>
      <c r="Z22" s="35">
        <v>115.033</v>
      </c>
      <c r="AA22" s="35">
        <v>98</v>
      </c>
      <c r="AB22" s="36">
        <v>17.033000000000001</v>
      </c>
      <c r="AC22" s="35">
        <v>1</v>
      </c>
      <c r="AD22" s="35">
        <v>1</v>
      </c>
      <c r="AE22" s="36">
        <v>0</v>
      </c>
      <c r="AF22" s="35">
        <v>18</v>
      </c>
      <c r="AG22" s="35">
        <v>15</v>
      </c>
      <c r="AH22" s="36">
        <v>3</v>
      </c>
      <c r="AI22" s="35">
        <v>4</v>
      </c>
      <c r="AJ22" s="35">
        <v>2</v>
      </c>
      <c r="AK22" s="36">
        <v>2</v>
      </c>
      <c r="AL22" s="35">
        <v>86</v>
      </c>
      <c r="AM22" s="35">
        <v>43</v>
      </c>
      <c r="AN22" s="36">
        <v>43</v>
      </c>
    </row>
    <row r="23" spans="1:40" ht="15" customHeight="1" x14ac:dyDescent="0.2">
      <c r="A23" s="34" t="s">
        <v>34</v>
      </c>
      <c r="B23" s="35">
        <v>202.54300000000001</v>
      </c>
      <c r="C23" s="35">
        <v>190</v>
      </c>
      <c r="D23" s="36">
        <v>12.542999999999999</v>
      </c>
      <c r="E23" s="35">
        <v>263.49900000000002</v>
      </c>
      <c r="F23" s="35">
        <v>149</v>
      </c>
      <c r="G23" s="36">
        <v>114.499</v>
      </c>
      <c r="H23" s="35">
        <v>10</v>
      </c>
      <c r="I23" s="35">
        <v>6</v>
      </c>
      <c r="J23" s="36">
        <v>4</v>
      </c>
      <c r="K23" s="35">
        <v>384.95600000000002</v>
      </c>
      <c r="L23" s="35">
        <v>104</v>
      </c>
      <c r="M23" s="36">
        <v>280.95600000000002</v>
      </c>
      <c r="N23" s="35">
        <v>203.04300000000001</v>
      </c>
      <c r="O23" s="35">
        <v>46</v>
      </c>
      <c r="P23" s="36">
        <v>157.04300000000001</v>
      </c>
      <c r="Q23" s="35">
        <v>60</v>
      </c>
      <c r="R23" s="35">
        <v>52</v>
      </c>
      <c r="S23" s="36">
        <v>8</v>
      </c>
      <c r="T23" s="35">
        <v>27</v>
      </c>
      <c r="U23" s="35">
        <v>20</v>
      </c>
      <c r="V23" s="36">
        <v>7</v>
      </c>
      <c r="W23" s="35">
        <v>7</v>
      </c>
      <c r="X23" s="35">
        <v>7</v>
      </c>
      <c r="Y23" s="36">
        <v>0</v>
      </c>
      <c r="Z23" s="35">
        <v>71.043000000000006</v>
      </c>
      <c r="AA23" s="35">
        <v>58</v>
      </c>
      <c r="AB23" s="36">
        <v>13.042999999999999</v>
      </c>
      <c r="AC23" s="35">
        <v>2</v>
      </c>
      <c r="AD23" s="35">
        <v>2</v>
      </c>
      <c r="AE23" s="36">
        <v>0</v>
      </c>
      <c r="AF23" s="35">
        <v>11</v>
      </c>
      <c r="AG23" s="35">
        <v>9</v>
      </c>
      <c r="AH23" s="36">
        <v>2</v>
      </c>
      <c r="AI23" s="35">
        <v>2</v>
      </c>
      <c r="AJ23" s="35">
        <v>1</v>
      </c>
      <c r="AK23" s="36">
        <v>1</v>
      </c>
      <c r="AL23" s="35">
        <v>94.912999999999997</v>
      </c>
      <c r="AM23" s="35">
        <v>47</v>
      </c>
      <c r="AN23" s="36">
        <v>47.912999999999997</v>
      </c>
    </row>
    <row r="24" spans="1:40" ht="15" customHeight="1" x14ac:dyDescent="0.2">
      <c r="A24" s="34" t="s">
        <v>35</v>
      </c>
      <c r="B24" s="35">
        <v>65</v>
      </c>
      <c r="C24" s="35">
        <v>56</v>
      </c>
      <c r="D24" s="36">
        <v>9</v>
      </c>
      <c r="E24" s="35">
        <v>231.999</v>
      </c>
      <c r="F24" s="35">
        <v>144</v>
      </c>
      <c r="G24" s="36">
        <v>87.998999999999995</v>
      </c>
      <c r="H24" s="35">
        <v>7</v>
      </c>
      <c r="I24" s="35">
        <v>5</v>
      </c>
      <c r="J24" s="36">
        <v>2</v>
      </c>
      <c r="K24" s="35">
        <v>159.9</v>
      </c>
      <c r="L24" s="35">
        <v>36</v>
      </c>
      <c r="M24" s="36">
        <v>123.9</v>
      </c>
      <c r="N24" s="35">
        <v>160</v>
      </c>
      <c r="O24" s="35">
        <v>46</v>
      </c>
      <c r="P24" s="36">
        <v>114</v>
      </c>
      <c r="Q24" s="35">
        <v>30</v>
      </c>
      <c r="R24" s="35">
        <v>23</v>
      </c>
      <c r="S24" s="36">
        <v>7</v>
      </c>
      <c r="T24" s="35">
        <v>34</v>
      </c>
      <c r="U24" s="35">
        <v>30</v>
      </c>
      <c r="V24" s="36">
        <v>4</v>
      </c>
      <c r="W24" s="35">
        <v>4</v>
      </c>
      <c r="X24" s="35">
        <v>4</v>
      </c>
      <c r="Y24" s="36">
        <v>0</v>
      </c>
      <c r="Z24" s="35">
        <v>41.1</v>
      </c>
      <c r="AA24" s="35">
        <v>33</v>
      </c>
      <c r="AB24" s="36">
        <v>8.1</v>
      </c>
      <c r="AC24" s="35">
        <v>1</v>
      </c>
      <c r="AD24" s="35">
        <v>1</v>
      </c>
      <c r="AE24" s="36">
        <v>0</v>
      </c>
      <c r="AF24" s="35">
        <v>9</v>
      </c>
      <c r="AG24" s="35">
        <v>8</v>
      </c>
      <c r="AH24" s="36">
        <v>1</v>
      </c>
      <c r="AI24" s="35">
        <v>2</v>
      </c>
      <c r="AJ24" s="35">
        <v>0</v>
      </c>
      <c r="AK24" s="36">
        <v>2</v>
      </c>
      <c r="AL24" s="35">
        <v>49</v>
      </c>
      <c r="AM24" s="35">
        <v>18</v>
      </c>
      <c r="AN24" s="36">
        <v>31</v>
      </c>
    </row>
    <row r="25" spans="1:40" ht="15" customHeight="1" x14ac:dyDescent="0.2">
      <c r="A25" s="34" t="s">
        <v>36</v>
      </c>
      <c r="B25" s="35">
        <v>223.63800000000001</v>
      </c>
      <c r="C25" s="35">
        <v>199</v>
      </c>
      <c r="D25" s="36">
        <v>24.638000000000002</v>
      </c>
      <c r="E25" s="35">
        <v>734.93100000000004</v>
      </c>
      <c r="F25" s="35">
        <v>451</v>
      </c>
      <c r="G25" s="36">
        <v>283.93099999999998</v>
      </c>
      <c r="H25" s="35">
        <v>29</v>
      </c>
      <c r="I25" s="35">
        <v>19</v>
      </c>
      <c r="J25" s="36">
        <v>10</v>
      </c>
      <c r="K25" s="35">
        <v>1335.2809999999999</v>
      </c>
      <c r="L25" s="35">
        <v>218</v>
      </c>
      <c r="M25" s="36">
        <v>1117.2809999999999</v>
      </c>
      <c r="N25" s="35">
        <v>404.74799999999999</v>
      </c>
      <c r="O25" s="35">
        <v>127</v>
      </c>
      <c r="P25" s="36">
        <v>277.74799999999999</v>
      </c>
      <c r="Q25" s="35">
        <v>168.928</v>
      </c>
      <c r="R25" s="35">
        <v>138</v>
      </c>
      <c r="S25" s="36">
        <v>30.928000000000001</v>
      </c>
      <c r="T25" s="35">
        <v>102</v>
      </c>
      <c r="U25" s="35">
        <v>73</v>
      </c>
      <c r="V25" s="36">
        <v>29</v>
      </c>
      <c r="W25" s="35">
        <v>26</v>
      </c>
      <c r="X25" s="35">
        <v>24</v>
      </c>
      <c r="Y25" s="36">
        <v>2</v>
      </c>
      <c r="Z25" s="35">
        <v>185.71799999999999</v>
      </c>
      <c r="AA25" s="35">
        <v>131</v>
      </c>
      <c r="AB25" s="36">
        <v>54.718000000000004</v>
      </c>
      <c r="AC25" s="35">
        <v>4</v>
      </c>
      <c r="AD25" s="35">
        <v>1</v>
      </c>
      <c r="AE25" s="36">
        <v>3</v>
      </c>
      <c r="AF25" s="35">
        <v>48</v>
      </c>
      <c r="AG25" s="35">
        <v>32</v>
      </c>
      <c r="AH25" s="36">
        <v>16</v>
      </c>
      <c r="AI25" s="35">
        <v>12</v>
      </c>
      <c r="AJ25" s="35">
        <v>7</v>
      </c>
      <c r="AK25" s="36">
        <v>5</v>
      </c>
      <c r="AL25" s="35">
        <v>243.75</v>
      </c>
      <c r="AM25" s="35">
        <v>101</v>
      </c>
      <c r="AN25" s="36">
        <v>142.75</v>
      </c>
    </row>
    <row r="26" spans="1:40" ht="15" customHeight="1" x14ac:dyDescent="0.2">
      <c r="A26" s="34" t="s">
        <v>37</v>
      </c>
      <c r="B26" s="35">
        <v>283.42500000000001</v>
      </c>
      <c r="C26" s="35">
        <v>247</v>
      </c>
      <c r="D26" s="36">
        <v>36.424999999999997</v>
      </c>
      <c r="E26" s="35">
        <v>1344.0840000000001</v>
      </c>
      <c r="F26" s="35">
        <v>811</v>
      </c>
      <c r="G26" s="36">
        <v>533.08399999999995</v>
      </c>
      <c r="H26" s="35">
        <v>25.933</v>
      </c>
      <c r="I26" s="35">
        <v>16</v>
      </c>
      <c r="J26" s="36">
        <v>9.9329999999999998</v>
      </c>
      <c r="K26" s="35">
        <v>1169.249</v>
      </c>
      <c r="L26" s="35">
        <v>176</v>
      </c>
      <c r="M26" s="36">
        <v>993.24900000000002</v>
      </c>
      <c r="N26" s="35">
        <v>640.04999999999995</v>
      </c>
      <c r="O26" s="35">
        <v>179</v>
      </c>
      <c r="P26" s="36">
        <v>461.05</v>
      </c>
      <c r="Q26" s="35">
        <v>287.30200000000002</v>
      </c>
      <c r="R26" s="35">
        <v>227</v>
      </c>
      <c r="S26" s="36">
        <v>60.302</v>
      </c>
      <c r="T26" s="35">
        <v>112.666</v>
      </c>
      <c r="U26" s="35">
        <v>95</v>
      </c>
      <c r="V26" s="36">
        <v>17.666</v>
      </c>
      <c r="W26" s="35">
        <v>97</v>
      </c>
      <c r="X26" s="35">
        <v>91</v>
      </c>
      <c r="Y26" s="36">
        <v>6</v>
      </c>
      <c r="Z26" s="35">
        <v>235.416</v>
      </c>
      <c r="AA26" s="35">
        <v>191</v>
      </c>
      <c r="AB26" s="36">
        <v>44.415999999999997</v>
      </c>
      <c r="AC26" s="35">
        <v>12</v>
      </c>
      <c r="AD26" s="35">
        <v>8</v>
      </c>
      <c r="AE26" s="36">
        <v>4</v>
      </c>
      <c r="AF26" s="35">
        <v>66</v>
      </c>
      <c r="AG26" s="35">
        <v>51</v>
      </c>
      <c r="AH26" s="36">
        <v>15</v>
      </c>
      <c r="AI26" s="35">
        <v>13</v>
      </c>
      <c r="AJ26" s="35">
        <v>10</v>
      </c>
      <c r="AK26" s="36">
        <v>3</v>
      </c>
      <c r="AL26" s="35">
        <v>292.86599999999999</v>
      </c>
      <c r="AM26" s="35">
        <v>133</v>
      </c>
      <c r="AN26" s="36">
        <v>159.86600000000001</v>
      </c>
    </row>
    <row r="27" spans="1:40" ht="15" customHeight="1" x14ac:dyDescent="0.2">
      <c r="A27" s="34" t="s">
        <v>38</v>
      </c>
      <c r="B27" s="35">
        <v>220.51300000000001</v>
      </c>
      <c r="C27" s="35">
        <v>205</v>
      </c>
      <c r="D27" s="36">
        <v>15.513</v>
      </c>
      <c r="E27" s="35">
        <v>969.505</v>
      </c>
      <c r="F27" s="35">
        <v>600</v>
      </c>
      <c r="G27" s="36">
        <v>369.505</v>
      </c>
      <c r="H27" s="35">
        <v>32.6</v>
      </c>
      <c r="I27" s="35">
        <v>21</v>
      </c>
      <c r="J27" s="36">
        <v>11.6</v>
      </c>
      <c r="K27" s="35">
        <v>838.49400000000003</v>
      </c>
      <c r="L27" s="35">
        <v>208</v>
      </c>
      <c r="M27" s="36">
        <v>630.49400000000003</v>
      </c>
      <c r="N27" s="35">
        <v>371.02600000000001</v>
      </c>
      <c r="O27" s="35">
        <v>117</v>
      </c>
      <c r="P27" s="36">
        <v>254.02600000000001</v>
      </c>
      <c r="Q27" s="35">
        <v>226</v>
      </c>
      <c r="R27" s="35">
        <v>169</v>
      </c>
      <c r="S27" s="36">
        <v>57</v>
      </c>
      <c r="T27" s="35">
        <v>135</v>
      </c>
      <c r="U27" s="35">
        <v>110</v>
      </c>
      <c r="V27" s="36">
        <v>25</v>
      </c>
      <c r="W27" s="35">
        <v>27</v>
      </c>
      <c r="X27" s="35">
        <v>22</v>
      </c>
      <c r="Y27" s="36">
        <v>5</v>
      </c>
      <c r="Z27" s="35">
        <v>273.90499999999997</v>
      </c>
      <c r="AA27" s="35">
        <v>202</v>
      </c>
      <c r="AB27" s="36">
        <v>71.905000000000001</v>
      </c>
      <c r="AC27" s="35">
        <v>7</v>
      </c>
      <c r="AD27" s="35">
        <v>4</v>
      </c>
      <c r="AE27" s="36">
        <v>3</v>
      </c>
      <c r="AF27" s="35">
        <v>64</v>
      </c>
      <c r="AG27" s="35">
        <v>52</v>
      </c>
      <c r="AH27" s="36">
        <v>12</v>
      </c>
      <c r="AI27" s="35">
        <v>16</v>
      </c>
      <c r="AJ27" s="35">
        <v>9</v>
      </c>
      <c r="AK27" s="36">
        <v>7</v>
      </c>
      <c r="AL27" s="35">
        <v>286.952</v>
      </c>
      <c r="AM27" s="35">
        <v>140</v>
      </c>
      <c r="AN27" s="36">
        <v>146.952</v>
      </c>
    </row>
    <row r="28" spans="1:40" ht="15" customHeight="1" x14ac:dyDescent="0.2">
      <c r="A28" s="34" t="s">
        <v>39</v>
      </c>
      <c r="B28" s="35">
        <v>97.043000000000006</v>
      </c>
      <c r="C28" s="35">
        <v>82</v>
      </c>
      <c r="D28" s="36">
        <v>15.042999999999999</v>
      </c>
      <c r="E28" s="35">
        <v>722.01400000000001</v>
      </c>
      <c r="F28" s="35">
        <v>377</v>
      </c>
      <c r="G28" s="36">
        <v>345.01400000000001</v>
      </c>
      <c r="H28" s="35">
        <v>22</v>
      </c>
      <c r="I28" s="35">
        <v>16</v>
      </c>
      <c r="J28" s="36">
        <v>6</v>
      </c>
      <c r="K28" s="35">
        <v>599.38</v>
      </c>
      <c r="L28" s="35">
        <v>123</v>
      </c>
      <c r="M28" s="36">
        <v>476.38</v>
      </c>
      <c r="N28" s="35">
        <v>251.02799999999999</v>
      </c>
      <c r="O28" s="35">
        <v>85</v>
      </c>
      <c r="P28" s="36">
        <v>166.02799999999999</v>
      </c>
      <c r="Q28" s="35">
        <v>155</v>
      </c>
      <c r="R28" s="35">
        <v>127</v>
      </c>
      <c r="S28" s="36">
        <v>28</v>
      </c>
      <c r="T28" s="35">
        <v>67</v>
      </c>
      <c r="U28" s="35">
        <v>59</v>
      </c>
      <c r="V28" s="36">
        <v>8</v>
      </c>
      <c r="W28" s="35">
        <v>11</v>
      </c>
      <c r="X28" s="35">
        <v>10</v>
      </c>
      <c r="Y28" s="36">
        <v>1</v>
      </c>
      <c r="Z28" s="35">
        <v>157.62899999999999</v>
      </c>
      <c r="AA28" s="35">
        <v>120</v>
      </c>
      <c r="AB28" s="36">
        <v>37.628999999999998</v>
      </c>
      <c r="AC28" s="35">
        <v>6</v>
      </c>
      <c r="AD28" s="35">
        <v>3</v>
      </c>
      <c r="AE28" s="36">
        <v>3</v>
      </c>
      <c r="AF28" s="35">
        <v>45</v>
      </c>
      <c r="AG28" s="35">
        <v>42</v>
      </c>
      <c r="AH28" s="36">
        <v>3</v>
      </c>
      <c r="AI28" s="35">
        <v>5</v>
      </c>
      <c r="AJ28" s="35">
        <v>5</v>
      </c>
      <c r="AK28" s="36">
        <v>0</v>
      </c>
      <c r="AL28" s="35">
        <v>140.898</v>
      </c>
      <c r="AM28" s="35">
        <v>75</v>
      </c>
      <c r="AN28" s="36">
        <v>65.897999999999996</v>
      </c>
    </row>
    <row r="29" spans="1:40" ht="15" customHeight="1" x14ac:dyDescent="0.2">
      <c r="A29" s="34" t="s">
        <v>40</v>
      </c>
      <c r="B29" s="35">
        <v>196.67</v>
      </c>
      <c r="C29" s="35">
        <v>171</v>
      </c>
      <c r="D29" s="36">
        <v>25.67</v>
      </c>
      <c r="E29" s="35">
        <v>1296.5630000000001</v>
      </c>
      <c r="F29" s="35">
        <v>728</v>
      </c>
      <c r="G29" s="36">
        <v>568.56299999999999</v>
      </c>
      <c r="H29" s="35">
        <v>42.5</v>
      </c>
      <c r="I29" s="35">
        <v>32</v>
      </c>
      <c r="J29" s="36">
        <v>10.5</v>
      </c>
      <c r="K29" s="35">
        <v>735.25</v>
      </c>
      <c r="L29" s="35">
        <v>157</v>
      </c>
      <c r="M29" s="36">
        <v>578.25</v>
      </c>
      <c r="N29" s="35">
        <v>369.29700000000003</v>
      </c>
      <c r="O29" s="35">
        <v>110</v>
      </c>
      <c r="P29" s="36">
        <v>259.29700000000003</v>
      </c>
      <c r="Q29" s="35">
        <v>225.322</v>
      </c>
      <c r="R29" s="35">
        <v>160</v>
      </c>
      <c r="S29" s="36">
        <v>65.322000000000003</v>
      </c>
      <c r="T29" s="35">
        <v>119</v>
      </c>
      <c r="U29" s="35">
        <v>101</v>
      </c>
      <c r="V29" s="36">
        <v>18</v>
      </c>
      <c r="W29" s="35">
        <v>13</v>
      </c>
      <c r="X29" s="35">
        <v>10</v>
      </c>
      <c r="Y29" s="36">
        <v>3</v>
      </c>
      <c r="Z29" s="35">
        <v>323.74900000000002</v>
      </c>
      <c r="AA29" s="35">
        <v>230</v>
      </c>
      <c r="AB29" s="36">
        <v>93.748999999999995</v>
      </c>
      <c r="AC29" s="35">
        <v>5</v>
      </c>
      <c r="AD29" s="35">
        <v>2</v>
      </c>
      <c r="AE29" s="36">
        <v>3</v>
      </c>
      <c r="AF29" s="35">
        <v>84</v>
      </c>
      <c r="AG29" s="35">
        <v>71</v>
      </c>
      <c r="AH29" s="36">
        <v>13</v>
      </c>
      <c r="AI29" s="35">
        <v>12</v>
      </c>
      <c r="AJ29" s="35">
        <v>8</v>
      </c>
      <c r="AK29" s="36">
        <v>4</v>
      </c>
      <c r="AL29" s="35">
        <v>175.642</v>
      </c>
      <c r="AM29" s="35">
        <v>87</v>
      </c>
      <c r="AN29" s="36">
        <v>88.641999999999996</v>
      </c>
    </row>
    <row r="30" spans="1:40" ht="15" customHeight="1" x14ac:dyDescent="0.2">
      <c r="A30" s="34" t="s">
        <v>41</v>
      </c>
      <c r="B30" s="35">
        <v>220</v>
      </c>
      <c r="C30" s="35">
        <v>186</v>
      </c>
      <c r="D30" s="36">
        <v>34</v>
      </c>
      <c r="E30" s="35">
        <v>740.99800000000005</v>
      </c>
      <c r="F30" s="35">
        <v>515</v>
      </c>
      <c r="G30" s="36">
        <v>225.99799999999999</v>
      </c>
      <c r="H30" s="35">
        <v>10</v>
      </c>
      <c r="I30" s="35">
        <v>8</v>
      </c>
      <c r="J30" s="36">
        <v>2</v>
      </c>
      <c r="K30" s="35">
        <v>120.79600000000001</v>
      </c>
      <c r="L30" s="35">
        <v>52</v>
      </c>
      <c r="M30" s="36">
        <v>68.796000000000006</v>
      </c>
      <c r="N30" s="35">
        <v>283</v>
      </c>
      <c r="O30" s="35">
        <v>110</v>
      </c>
      <c r="P30" s="36">
        <v>173</v>
      </c>
      <c r="Q30" s="35">
        <v>87</v>
      </c>
      <c r="R30" s="35">
        <v>78</v>
      </c>
      <c r="S30" s="36">
        <v>9</v>
      </c>
      <c r="T30" s="35">
        <v>52</v>
      </c>
      <c r="U30" s="35">
        <v>46</v>
      </c>
      <c r="V30" s="36">
        <v>6</v>
      </c>
      <c r="W30" s="35">
        <v>14</v>
      </c>
      <c r="X30" s="35">
        <v>14</v>
      </c>
      <c r="Y30" s="36">
        <v>0</v>
      </c>
      <c r="Z30" s="35">
        <v>90.203000000000003</v>
      </c>
      <c r="AA30" s="35">
        <v>79</v>
      </c>
      <c r="AB30" s="36">
        <v>11.202999999999999</v>
      </c>
      <c r="AC30" s="35">
        <v>1</v>
      </c>
      <c r="AD30" s="35">
        <v>1</v>
      </c>
      <c r="AE30" s="36">
        <v>0</v>
      </c>
      <c r="AF30" s="35">
        <v>15</v>
      </c>
      <c r="AG30" s="35">
        <v>12</v>
      </c>
      <c r="AH30" s="36">
        <v>3</v>
      </c>
      <c r="AI30" s="35">
        <v>8</v>
      </c>
      <c r="AJ30" s="35">
        <v>6</v>
      </c>
      <c r="AK30" s="36">
        <v>2</v>
      </c>
      <c r="AL30" s="35">
        <v>65</v>
      </c>
      <c r="AM30" s="35">
        <v>36</v>
      </c>
      <c r="AN30" s="36">
        <v>29</v>
      </c>
    </row>
    <row r="31" spans="1:40" ht="15" customHeight="1" x14ac:dyDescent="0.2">
      <c r="A31" s="34" t="s">
        <v>42</v>
      </c>
      <c r="B31" s="35">
        <v>1118.711</v>
      </c>
      <c r="C31" s="35">
        <v>980</v>
      </c>
      <c r="D31" s="36">
        <v>138.71100000000001</v>
      </c>
      <c r="E31" s="35">
        <v>3345.556</v>
      </c>
      <c r="F31" s="35">
        <v>2192</v>
      </c>
      <c r="G31" s="36">
        <v>1153.556</v>
      </c>
      <c r="H31" s="35">
        <v>140.965</v>
      </c>
      <c r="I31" s="35">
        <v>91</v>
      </c>
      <c r="J31" s="36">
        <v>49.965000000000003</v>
      </c>
      <c r="K31" s="35">
        <v>4533.0919999999996</v>
      </c>
      <c r="L31" s="35">
        <v>1250</v>
      </c>
      <c r="M31" s="36">
        <v>3283.0920000000001</v>
      </c>
      <c r="N31" s="35">
        <v>1980.4010000000001</v>
      </c>
      <c r="O31" s="35">
        <v>572</v>
      </c>
      <c r="P31" s="36">
        <v>1408.4010000000001</v>
      </c>
      <c r="Q31" s="35">
        <v>857.17100000000005</v>
      </c>
      <c r="R31" s="35">
        <v>612</v>
      </c>
      <c r="S31" s="36">
        <v>245.17099999999999</v>
      </c>
      <c r="T31" s="35">
        <v>442.666</v>
      </c>
      <c r="U31" s="35">
        <v>373</v>
      </c>
      <c r="V31" s="36">
        <v>69.665999999999997</v>
      </c>
      <c r="W31" s="35">
        <v>67</v>
      </c>
      <c r="X31" s="35">
        <v>60</v>
      </c>
      <c r="Y31" s="36">
        <v>7</v>
      </c>
      <c r="Z31" s="35">
        <v>1004.907</v>
      </c>
      <c r="AA31" s="35">
        <v>687</v>
      </c>
      <c r="AB31" s="36">
        <v>317.90699999999998</v>
      </c>
      <c r="AC31" s="35">
        <v>47</v>
      </c>
      <c r="AD31" s="35">
        <v>33</v>
      </c>
      <c r="AE31" s="36">
        <v>14</v>
      </c>
      <c r="AF31" s="35">
        <v>259</v>
      </c>
      <c r="AG31" s="35">
        <v>199</v>
      </c>
      <c r="AH31" s="36">
        <v>60</v>
      </c>
      <c r="AI31" s="35">
        <v>54</v>
      </c>
      <c r="AJ31" s="35">
        <v>44</v>
      </c>
      <c r="AK31" s="36">
        <v>10</v>
      </c>
      <c r="AL31" s="35">
        <v>1196.511</v>
      </c>
      <c r="AM31" s="35">
        <v>552.33299999999997</v>
      </c>
      <c r="AN31" s="36">
        <v>644.178</v>
      </c>
    </row>
    <row r="32" spans="1:40" ht="15" customHeight="1" x14ac:dyDescent="0.2">
      <c r="A32" s="34" t="s">
        <v>43</v>
      </c>
      <c r="B32" s="35">
        <v>312.09399999999999</v>
      </c>
      <c r="C32" s="35">
        <v>276</v>
      </c>
      <c r="D32" s="36">
        <v>36.094000000000001</v>
      </c>
      <c r="E32" s="35">
        <v>1267.354</v>
      </c>
      <c r="F32" s="35">
        <v>798</v>
      </c>
      <c r="G32" s="36">
        <v>469.35399999999998</v>
      </c>
      <c r="H32" s="35">
        <v>34.375</v>
      </c>
      <c r="I32" s="35">
        <v>21</v>
      </c>
      <c r="J32" s="36">
        <v>13.375</v>
      </c>
      <c r="K32" s="35">
        <v>1348.568</v>
      </c>
      <c r="L32" s="35">
        <v>333</v>
      </c>
      <c r="M32" s="36">
        <v>1015.568</v>
      </c>
      <c r="N32" s="35">
        <v>834.23699999999997</v>
      </c>
      <c r="O32" s="35">
        <v>203</v>
      </c>
      <c r="P32" s="36">
        <v>631.23699999999997</v>
      </c>
      <c r="Q32" s="35">
        <v>268.28500000000003</v>
      </c>
      <c r="R32" s="35">
        <v>199</v>
      </c>
      <c r="S32" s="36">
        <v>69.284999999999997</v>
      </c>
      <c r="T32" s="35">
        <v>139</v>
      </c>
      <c r="U32" s="35">
        <v>113</v>
      </c>
      <c r="V32" s="36">
        <v>26</v>
      </c>
      <c r="W32" s="35">
        <v>31</v>
      </c>
      <c r="X32" s="35">
        <v>26</v>
      </c>
      <c r="Y32" s="36">
        <v>5</v>
      </c>
      <c r="Z32" s="35">
        <v>303.59100000000001</v>
      </c>
      <c r="AA32" s="35">
        <v>210</v>
      </c>
      <c r="AB32" s="36">
        <v>93.590999999999994</v>
      </c>
      <c r="AC32" s="35">
        <v>10</v>
      </c>
      <c r="AD32" s="35">
        <v>3</v>
      </c>
      <c r="AE32" s="36">
        <v>7</v>
      </c>
      <c r="AF32" s="35">
        <v>64.36</v>
      </c>
      <c r="AG32" s="35">
        <v>42</v>
      </c>
      <c r="AH32" s="36">
        <v>22.36</v>
      </c>
      <c r="AI32" s="35">
        <v>15</v>
      </c>
      <c r="AJ32" s="35">
        <v>10</v>
      </c>
      <c r="AK32" s="36">
        <v>5</v>
      </c>
      <c r="AL32" s="35">
        <v>304.13</v>
      </c>
      <c r="AM32" s="35">
        <v>137</v>
      </c>
      <c r="AN32" s="36">
        <v>167.13</v>
      </c>
    </row>
    <row r="33" spans="1:40" ht="15" customHeight="1" x14ac:dyDescent="0.2">
      <c r="A33" s="34" t="s">
        <v>44</v>
      </c>
      <c r="B33" s="35">
        <v>784.58199999999999</v>
      </c>
      <c r="C33" s="35">
        <v>679</v>
      </c>
      <c r="D33" s="36">
        <v>105.58199999999999</v>
      </c>
      <c r="E33" s="35">
        <v>2328.7950000000001</v>
      </c>
      <c r="F33" s="35">
        <v>1490</v>
      </c>
      <c r="G33" s="36">
        <v>838.79499999999996</v>
      </c>
      <c r="H33" s="35">
        <v>81.710999999999999</v>
      </c>
      <c r="I33" s="35">
        <v>47</v>
      </c>
      <c r="J33" s="36">
        <v>34.710999999999999</v>
      </c>
      <c r="K33" s="35">
        <v>2702.02</v>
      </c>
      <c r="L33" s="35">
        <v>774</v>
      </c>
      <c r="M33" s="36">
        <v>1928.02</v>
      </c>
      <c r="N33" s="35">
        <v>1090.1579999999999</v>
      </c>
      <c r="O33" s="35">
        <v>293</v>
      </c>
      <c r="P33" s="36">
        <v>797.15800000000002</v>
      </c>
      <c r="Q33" s="35">
        <v>600.81700000000001</v>
      </c>
      <c r="R33" s="35">
        <v>437</v>
      </c>
      <c r="S33" s="36">
        <v>163.81700000000001</v>
      </c>
      <c r="T33" s="35">
        <v>346.41399999999999</v>
      </c>
      <c r="U33" s="35">
        <v>274</v>
      </c>
      <c r="V33" s="36">
        <v>72.414000000000001</v>
      </c>
      <c r="W33" s="35">
        <v>47</v>
      </c>
      <c r="X33" s="35">
        <v>44</v>
      </c>
      <c r="Y33" s="36">
        <v>3</v>
      </c>
      <c r="Z33" s="35">
        <v>723.37900000000002</v>
      </c>
      <c r="AA33" s="35">
        <v>534</v>
      </c>
      <c r="AB33" s="36">
        <v>189.37899999999999</v>
      </c>
      <c r="AC33" s="35">
        <v>23</v>
      </c>
      <c r="AD33" s="35">
        <v>14</v>
      </c>
      <c r="AE33" s="36">
        <v>9</v>
      </c>
      <c r="AF33" s="35">
        <v>184</v>
      </c>
      <c r="AG33" s="35">
        <v>141</v>
      </c>
      <c r="AH33" s="36">
        <v>43</v>
      </c>
      <c r="AI33" s="35">
        <v>31</v>
      </c>
      <c r="AJ33" s="35">
        <v>17</v>
      </c>
      <c r="AK33" s="36">
        <v>14</v>
      </c>
      <c r="AL33" s="35">
        <v>781.11300000000006</v>
      </c>
      <c r="AM33" s="35">
        <v>335</v>
      </c>
      <c r="AN33" s="36">
        <v>446.113</v>
      </c>
    </row>
    <row r="34" spans="1:40" ht="15" customHeight="1" x14ac:dyDescent="0.2">
      <c r="A34" s="34" t="s">
        <v>45</v>
      </c>
      <c r="B34" s="35">
        <v>431.83800000000002</v>
      </c>
      <c r="C34" s="35">
        <v>376</v>
      </c>
      <c r="D34" s="36">
        <v>55.838000000000001</v>
      </c>
      <c r="E34" s="35">
        <v>1408.635</v>
      </c>
      <c r="F34" s="35">
        <v>869</v>
      </c>
      <c r="G34" s="36">
        <v>539.63499999999999</v>
      </c>
      <c r="H34" s="35">
        <v>39.261000000000003</v>
      </c>
      <c r="I34" s="35">
        <v>22</v>
      </c>
      <c r="J34" s="36">
        <v>17.260999999999999</v>
      </c>
      <c r="K34" s="35">
        <v>1964.81</v>
      </c>
      <c r="L34" s="35">
        <v>595</v>
      </c>
      <c r="M34" s="36">
        <v>1369.81</v>
      </c>
      <c r="N34" s="35">
        <v>669.06600000000003</v>
      </c>
      <c r="O34" s="35">
        <v>176</v>
      </c>
      <c r="P34" s="36">
        <v>493.06599999999997</v>
      </c>
      <c r="Q34" s="35">
        <v>443.89</v>
      </c>
      <c r="R34" s="35">
        <v>304</v>
      </c>
      <c r="S34" s="36">
        <v>139.88999999999999</v>
      </c>
      <c r="T34" s="35">
        <v>191</v>
      </c>
      <c r="U34" s="35">
        <v>158</v>
      </c>
      <c r="V34" s="36">
        <v>33</v>
      </c>
      <c r="W34" s="35">
        <v>17</v>
      </c>
      <c r="X34" s="35">
        <v>14</v>
      </c>
      <c r="Y34" s="36">
        <v>3</v>
      </c>
      <c r="Z34" s="35">
        <v>461.76</v>
      </c>
      <c r="AA34" s="35">
        <v>350</v>
      </c>
      <c r="AB34" s="36">
        <v>111.76</v>
      </c>
      <c r="AC34" s="35">
        <v>18</v>
      </c>
      <c r="AD34" s="35">
        <v>13</v>
      </c>
      <c r="AE34" s="36">
        <v>5</v>
      </c>
      <c r="AF34" s="35">
        <v>119</v>
      </c>
      <c r="AG34" s="35">
        <v>101</v>
      </c>
      <c r="AH34" s="36">
        <v>18</v>
      </c>
      <c r="AI34" s="35">
        <v>27</v>
      </c>
      <c r="AJ34" s="35">
        <v>21</v>
      </c>
      <c r="AK34" s="36">
        <v>6</v>
      </c>
      <c r="AL34" s="35">
        <v>524.73299999999995</v>
      </c>
      <c r="AM34" s="35">
        <v>231</v>
      </c>
      <c r="AN34" s="36">
        <v>293.733</v>
      </c>
    </row>
    <row r="35" spans="1:40" ht="15" customHeight="1" x14ac:dyDescent="0.2">
      <c r="A35" s="34" t="s">
        <v>46</v>
      </c>
      <c r="B35" s="35">
        <v>570.69299999999998</v>
      </c>
      <c r="C35" s="35">
        <v>486</v>
      </c>
      <c r="D35" s="36">
        <v>84.692999999999998</v>
      </c>
      <c r="E35" s="35">
        <v>1880.181</v>
      </c>
      <c r="F35" s="35">
        <v>1160</v>
      </c>
      <c r="G35" s="36">
        <v>720.18100000000004</v>
      </c>
      <c r="H35" s="35">
        <v>46.52</v>
      </c>
      <c r="I35" s="35">
        <v>35</v>
      </c>
      <c r="J35" s="36">
        <v>11.52</v>
      </c>
      <c r="K35" s="35">
        <v>2082.2939999999999</v>
      </c>
      <c r="L35" s="35">
        <v>585</v>
      </c>
      <c r="M35" s="36">
        <v>1497.2940000000001</v>
      </c>
      <c r="N35" s="35">
        <v>866.21</v>
      </c>
      <c r="O35" s="35">
        <v>232</v>
      </c>
      <c r="P35" s="36">
        <v>634.21</v>
      </c>
      <c r="Q35" s="35">
        <v>506.94</v>
      </c>
      <c r="R35" s="35">
        <v>343</v>
      </c>
      <c r="S35" s="36">
        <v>163.94</v>
      </c>
      <c r="T35" s="35">
        <v>284</v>
      </c>
      <c r="U35" s="35">
        <v>237</v>
      </c>
      <c r="V35" s="36">
        <v>47</v>
      </c>
      <c r="W35" s="35">
        <v>33</v>
      </c>
      <c r="X35" s="35">
        <v>25</v>
      </c>
      <c r="Y35" s="36">
        <v>8</v>
      </c>
      <c r="Z35" s="35">
        <v>632.41899999999998</v>
      </c>
      <c r="AA35" s="35">
        <v>457</v>
      </c>
      <c r="AB35" s="36">
        <v>175.41900000000001</v>
      </c>
      <c r="AC35" s="35">
        <v>27</v>
      </c>
      <c r="AD35" s="35">
        <v>11</v>
      </c>
      <c r="AE35" s="36">
        <v>16</v>
      </c>
      <c r="AF35" s="35">
        <v>159</v>
      </c>
      <c r="AG35" s="35">
        <v>122</v>
      </c>
      <c r="AH35" s="36">
        <v>37</v>
      </c>
      <c r="AI35" s="35">
        <v>25</v>
      </c>
      <c r="AJ35" s="35">
        <v>17</v>
      </c>
      <c r="AK35" s="36">
        <v>8</v>
      </c>
      <c r="AL35" s="35">
        <v>610.73400000000004</v>
      </c>
      <c r="AM35" s="35">
        <v>313.54500000000002</v>
      </c>
      <c r="AN35" s="36">
        <v>297.18900000000002</v>
      </c>
    </row>
    <row r="36" spans="1:40" ht="15" customHeight="1" x14ac:dyDescent="0.2">
      <c r="A36" s="34" t="s">
        <v>47</v>
      </c>
      <c r="B36" s="35">
        <v>1334.442</v>
      </c>
      <c r="C36" s="35">
        <v>1149</v>
      </c>
      <c r="D36" s="36">
        <v>185.44200000000001</v>
      </c>
      <c r="E36" s="35">
        <v>3051.8130000000001</v>
      </c>
      <c r="F36" s="35">
        <v>1978</v>
      </c>
      <c r="G36" s="36">
        <v>1073.8130000000001</v>
      </c>
      <c r="H36" s="35">
        <v>84.427999999999997</v>
      </c>
      <c r="I36" s="35">
        <v>53</v>
      </c>
      <c r="J36" s="36">
        <v>31.428000000000001</v>
      </c>
      <c r="K36" s="35">
        <v>3957.5810000000001</v>
      </c>
      <c r="L36" s="35">
        <v>1113</v>
      </c>
      <c r="M36" s="36">
        <v>2844.5810000000001</v>
      </c>
      <c r="N36" s="35">
        <v>1738.36</v>
      </c>
      <c r="O36" s="35">
        <v>485</v>
      </c>
      <c r="P36" s="36">
        <v>1253.3599999999999</v>
      </c>
      <c r="Q36" s="35">
        <v>918.23800000000006</v>
      </c>
      <c r="R36" s="35">
        <v>607</v>
      </c>
      <c r="S36" s="36">
        <v>311.238</v>
      </c>
      <c r="T36" s="35">
        <v>523.13300000000004</v>
      </c>
      <c r="U36" s="35">
        <v>400</v>
      </c>
      <c r="V36" s="36">
        <v>123.133</v>
      </c>
      <c r="W36" s="35">
        <v>90</v>
      </c>
      <c r="X36" s="35">
        <v>71</v>
      </c>
      <c r="Y36" s="36">
        <v>19</v>
      </c>
      <c r="Z36" s="35">
        <v>1196.4929999999999</v>
      </c>
      <c r="AA36" s="35">
        <v>959</v>
      </c>
      <c r="AB36" s="36">
        <v>237.49299999999999</v>
      </c>
      <c r="AC36" s="35">
        <v>35.133000000000003</v>
      </c>
      <c r="AD36" s="35">
        <v>24</v>
      </c>
      <c r="AE36" s="36">
        <v>11.132999999999999</v>
      </c>
      <c r="AF36" s="35">
        <v>298.88200000000001</v>
      </c>
      <c r="AG36" s="35">
        <v>213</v>
      </c>
      <c r="AH36" s="36">
        <v>85.882000000000005</v>
      </c>
      <c r="AI36" s="35">
        <v>52</v>
      </c>
      <c r="AJ36" s="35">
        <v>39</v>
      </c>
      <c r="AK36" s="36">
        <v>13</v>
      </c>
      <c r="AL36" s="35">
        <v>951.48199999999997</v>
      </c>
      <c r="AM36" s="35">
        <v>492.56</v>
      </c>
      <c r="AN36" s="36">
        <v>458.92200000000003</v>
      </c>
    </row>
    <row r="37" spans="1:40" ht="15" customHeight="1" x14ac:dyDescent="0.2">
      <c r="A37" s="34" t="s">
        <v>48</v>
      </c>
      <c r="B37" s="35">
        <v>853.221</v>
      </c>
      <c r="C37" s="35">
        <v>740</v>
      </c>
      <c r="D37" s="36">
        <v>113.221</v>
      </c>
      <c r="E37" s="35">
        <v>1829.6869999999999</v>
      </c>
      <c r="F37" s="35">
        <v>1233</v>
      </c>
      <c r="G37" s="36">
        <v>596.68700000000001</v>
      </c>
      <c r="H37" s="35">
        <v>34.1</v>
      </c>
      <c r="I37" s="35">
        <v>15</v>
      </c>
      <c r="J37" s="36">
        <v>19.100000000000001</v>
      </c>
      <c r="K37" s="35">
        <v>1158.8119999999999</v>
      </c>
      <c r="L37" s="35">
        <v>432</v>
      </c>
      <c r="M37" s="36">
        <v>726.81200000000001</v>
      </c>
      <c r="N37" s="35">
        <v>970.15</v>
      </c>
      <c r="O37" s="35">
        <v>305</v>
      </c>
      <c r="P37" s="36">
        <v>665.15</v>
      </c>
      <c r="Q37" s="35">
        <v>598.72299999999996</v>
      </c>
      <c r="R37" s="35">
        <v>416</v>
      </c>
      <c r="S37" s="36">
        <v>182.72300000000001</v>
      </c>
      <c r="T37" s="35">
        <v>332.8</v>
      </c>
      <c r="U37" s="35">
        <v>259</v>
      </c>
      <c r="V37" s="36">
        <v>73.8</v>
      </c>
      <c r="W37" s="35">
        <v>65</v>
      </c>
      <c r="X37" s="35">
        <v>50</v>
      </c>
      <c r="Y37" s="36">
        <v>15</v>
      </c>
      <c r="Z37" s="35">
        <v>605.18700000000001</v>
      </c>
      <c r="AA37" s="35">
        <v>475</v>
      </c>
      <c r="AB37" s="36">
        <v>130.18700000000001</v>
      </c>
      <c r="AC37" s="35">
        <v>22</v>
      </c>
      <c r="AD37" s="35">
        <v>14</v>
      </c>
      <c r="AE37" s="36">
        <v>8</v>
      </c>
      <c r="AF37" s="35">
        <v>166</v>
      </c>
      <c r="AG37" s="35">
        <v>133</v>
      </c>
      <c r="AH37" s="36">
        <v>33</v>
      </c>
      <c r="AI37" s="35">
        <v>34</v>
      </c>
      <c r="AJ37" s="35">
        <v>28</v>
      </c>
      <c r="AK37" s="36">
        <v>6</v>
      </c>
      <c r="AL37" s="35">
        <v>468.31200000000001</v>
      </c>
      <c r="AM37" s="35">
        <v>227</v>
      </c>
      <c r="AN37" s="36">
        <v>241.31200000000001</v>
      </c>
    </row>
    <row r="38" spans="1:40" ht="15" customHeight="1" x14ac:dyDescent="0.2">
      <c r="A38" s="34" t="s">
        <v>49</v>
      </c>
      <c r="B38" s="35">
        <v>1654.0540000000001</v>
      </c>
      <c r="C38" s="35">
        <v>1463</v>
      </c>
      <c r="D38" s="36">
        <v>191.054</v>
      </c>
      <c r="E38" s="35">
        <v>3564.4250000000002</v>
      </c>
      <c r="F38" s="35">
        <v>2329.6190000000001</v>
      </c>
      <c r="G38" s="36">
        <v>1234.806</v>
      </c>
      <c r="H38" s="35">
        <v>93.968999999999994</v>
      </c>
      <c r="I38" s="35">
        <v>62</v>
      </c>
      <c r="J38" s="36">
        <v>31.969000000000001</v>
      </c>
      <c r="K38" s="35">
        <v>2569.134</v>
      </c>
      <c r="L38" s="35">
        <v>946</v>
      </c>
      <c r="M38" s="36">
        <v>1623.134</v>
      </c>
      <c r="N38" s="35">
        <v>1746.5170000000001</v>
      </c>
      <c r="O38" s="35">
        <v>517</v>
      </c>
      <c r="P38" s="36">
        <v>1229.5170000000001</v>
      </c>
      <c r="Q38" s="35">
        <v>1174.7529999999999</v>
      </c>
      <c r="R38" s="35">
        <v>834</v>
      </c>
      <c r="S38" s="36">
        <v>340.75299999999999</v>
      </c>
      <c r="T38" s="35">
        <v>646</v>
      </c>
      <c r="U38" s="35">
        <v>534</v>
      </c>
      <c r="V38" s="36">
        <v>112</v>
      </c>
      <c r="W38" s="35">
        <v>70</v>
      </c>
      <c r="X38" s="35">
        <v>58</v>
      </c>
      <c r="Y38" s="36">
        <v>12</v>
      </c>
      <c r="Z38" s="35">
        <v>1310.3140000000001</v>
      </c>
      <c r="AA38" s="35">
        <v>1074</v>
      </c>
      <c r="AB38" s="36">
        <v>236.31399999999999</v>
      </c>
      <c r="AC38" s="35">
        <v>34.110999999999997</v>
      </c>
      <c r="AD38" s="35">
        <v>26</v>
      </c>
      <c r="AE38" s="36">
        <v>8.1110000000000007</v>
      </c>
      <c r="AF38" s="35">
        <v>320.22199999999998</v>
      </c>
      <c r="AG38" s="35">
        <v>255</v>
      </c>
      <c r="AH38" s="36">
        <v>65.221999999999994</v>
      </c>
      <c r="AI38" s="35">
        <v>42</v>
      </c>
      <c r="AJ38" s="35">
        <v>30</v>
      </c>
      <c r="AK38" s="36">
        <v>12</v>
      </c>
      <c r="AL38" s="35">
        <v>977.48299999999995</v>
      </c>
      <c r="AM38" s="35">
        <v>473.33300000000003</v>
      </c>
      <c r="AN38" s="36">
        <v>504.15</v>
      </c>
    </row>
    <row r="39" spans="1:40" ht="15" customHeight="1" x14ac:dyDescent="0.2">
      <c r="A39" s="34" t="s">
        <v>50</v>
      </c>
      <c r="B39" s="35">
        <v>24</v>
      </c>
      <c r="C39" s="35">
        <v>22</v>
      </c>
      <c r="D39" s="36">
        <v>2</v>
      </c>
      <c r="E39" s="35">
        <v>142</v>
      </c>
      <c r="F39" s="35">
        <v>56</v>
      </c>
      <c r="G39" s="36">
        <v>86</v>
      </c>
      <c r="H39" s="35">
        <v>2</v>
      </c>
      <c r="I39" s="35">
        <v>0</v>
      </c>
      <c r="J39" s="36">
        <v>2</v>
      </c>
      <c r="K39" s="35">
        <v>30</v>
      </c>
      <c r="L39" s="35">
        <v>14</v>
      </c>
      <c r="M39" s="36">
        <v>16</v>
      </c>
      <c r="N39" s="35">
        <v>82</v>
      </c>
      <c r="O39" s="35">
        <v>38</v>
      </c>
      <c r="P39" s="36">
        <v>44</v>
      </c>
      <c r="Q39" s="35">
        <v>24</v>
      </c>
      <c r="R39" s="35">
        <v>19</v>
      </c>
      <c r="S39" s="36">
        <v>5</v>
      </c>
      <c r="T39" s="35">
        <v>14</v>
      </c>
      <c r="U39" s="35">
        <v>12</v>
      </c>
      <c r="V39" s="36">
        <v>2</v>
      </c>
      <c r="W39" s="35">
        <v>0</v>
      </c>
      <c r="X39" s="35">
        <v>0</v>
      </c>
      <c r="Y39" s="36">
        <v>0</v>
      </c>
      <c r="Z39" s="35">
        <v>17</v>
      </c>
      <c r="AA39" s="35">
        <v>16</v>
      </c>
      <c r="AB39" s="36">
        <v>1</v>
      </c>
      <c r="AC39" s="35">
        <v>0</v>
      </c>
      <c r="AD39" s="35">
        <v>0</v>
      </c>
      <c r="AE39" s="36">
        <v>0</v>
      </c>
      <c r="AF39" s="35">
        <v>1</v>
      </c>
      <c r="AG39" s="35">
        <v>1</v>
      </c>
      <c r="AH39" s="36">
        <v>0</v>
      </c>
      <c r="AI39" s="35">
        <v>1</v>
      </c>
      <c r="AJ39" s="35">
        <v>1</v>
      </c>
      <c r="AK39" s="36">
        <v>0</v>
      </c>
      <c r="AL39" s="35">
        <v>29</v>
      </c>
      <c r="AM39" s="35">
        <v>16</v>
      </c>
      <c r="AN39" s="36">
        <v>13</v>
      </c>
    </row>
    <row r="40" spans="1:40" ht="15" customHeight="1" x14ac:dyDescent="0.2">
      <c r="A40" s="34" t="s">
        <v>51</v>
      </c>
      <c r="B40" s="35">
        <v>31</v>
      </c>
      <c r="C40" s="35">
        <v>29</v>
      </c>
      <c r="D40" s="36">
        <v>2</v>
      </c>
      <c r="E40" s="35">
        <v>155.041</v>
      </c>
      <c r="F40" s="35">
        <v>98</v>
      </c>
      <c r="G40" s="36">
        <v>57.040999999999997</v>
      </c>
      <c r="H40" s="35">
        <v>3</v>
      </c>
      <c r="I40" s="35">
        <v>3</v>
      </c>
      <c r="J40" s="36">
        <v>0</v>
      </c>
      <c r="K40" s="35">
        <v>71</v>
      </c>
      <c r="L40" s="35">
        <v>20</v>
      </c>
      <c r="M40" s="36">
        <v>51</v>
      </c>
      <c r="N40" s="35">
        <v>104.041</v>
      </c>
      <c r="O40" s="35">
        <v>42</v>
      </c>
      <c r="P40" s="36">
        <v>62.040999999999997</v>
      </c>
      <c r="Q40" s="35">
        <v>30</v>
      </c>
      <c r="R40" s="35">
        <v>25</v>
      </c>
      <c r="S40" s="36">
        <v>5</v>
      </c>
      <c r="T40" s="35">
        <v>25</v>
      </c>
      <c r="U40" s="35">
        <v>19</v>
      </c>
      <c r="V40" s="36">
        <v>6</v>
      </c>
      <c r="W40" s="35">
        <v>0</v>
      </c>
      <c r="X40" s="35">
        <v>0</v>
      </c>
      <c r="Y40" s="36">
        <v>0</v>
      </c>
      <c r="Z40" s="35">
        <v>35</v>
      </c>
      <c r="AA40" s="35">
        <v>32</v>
      </c>
      <c r="AB40" s="36">
        <v>3</v>
      </c>
      <c r="AC40" s="35">
        <v>0</v>
      </c>
      <c r="AD40" s="35">
        <v>0</v>
      </c>
      <c r="AE40" s="36">
        <v>0</v>
      </c>
      <c r="AF40" s="35">
        <v>1</v>
      </c>
      <c r="AG40" s="35">
        <v>1</v>
      </c>
      <c r="AH40" s="36">
        <v>0</v>
      </c>
      <c r="AI40" s="35">
        <v>1</v>
      </c>
      <c r="AJ40" s="35">
        <v>1</v>
      </c>
      <c r="AK40" s="36">
        <v>0</v>
      </c>
      <c r="AL40" s="35">
        <v>54.915999999999997</v>
      </c>
      <c r="AM40" s="35">
        <v>32</v>
      </c>
      <c r="AN40" s="36">
        <v>22.916</v>
      </c>
    </row>
    <row r="41" spans="1:40" ht="15" customHeight="1" x14ac:dyDescent="0.2">
      <c r="A41" s="34" t="s">
        <v>52</v>
      </c>
      <c r="B41" s="35">
        <v>27</v>
      </c>
      <c r="C41" s="35">
        <v>25</v>
      </c>
      <c r="D41" s="36">
        <v>2</v>
      </c>
      <c r="E41" s="35">
        <v>73</v>
      </c>
      <c r="F41" s="35">
        <v>45</v>
      </c>
      <c r="G41" s="36">
        <v>28</v>
      </c>
      <c r="H41" s="35">
        <v>3</v>
      </c>
      <c r="I41" s="35">
        <v>2</v>
      </c>
      <c r="J41" s="36">
        <v>1</v>
      </c>
      <c r="K41" s="35">
        <v>19</v>
      </c>
      <c r="L41" s="35">
        <v>6</v>
      </c>
      <c r="M41" s="36">
        <v>13</v>
      </c>
      <c r="N41" s="35">
        <v>16</v>
      </c>
      <c r="O41" s="35">
        <v>10</v>
      </c>
      <c r="P41" s="36">
        <v>6</v>
      </c>
      <c r="Q41" s="35">
        <v>25</v>
      </c>
      <c r="R41" s="35">
        <v>11</v>
      </c>
      <c r="S41" s="36">
        <v>14</v>
      </c>
      <c r="T41" s="35">
        <v>15</v>
      </c>
      <c r="U41" s="35">
        <v>13</v>
      </c>
      <c r="V41" s="36">
        <v>2</v>
      </c>
      <c r="W41" s="35">
        <v>5</v>
      </c>
      <c r="X41" s="35">
        <v>5</v>
      </c>
      <c r="Y41" s="36">
        <v>0</v>
      </c>
      <c r="Z41" s="35">
        <v>13</v>
      </c>
      <c r="AA41" s="35">
        <v>12</v>
      </c>
      <c r="AB41" s="36">
        <v>1</v>
      </c>
      <c r="AC41" s="35">
        <v>0</v>
      </c>
      <c r="AD41" s="35">
        <v>0</v>
      </c>
      <c r="AE41" s="36">
        <v>0</v>
      </c>
      <c r="AF41" s="35">
        <v>5</v>
      </c>
      <c r="AG41" s="35">
        <v>5</v>
      </c>
      <c r="AH41" s="36">
        <v>0</v>
      </c>
      <c r="AI41" s="35">
        <v>0</v>
      </c>
      <c r="AJ41" s="35">
        <v>0</v>
      </c>
      <c r="AK41" s="36">
        <v>0</v>
      </c>
      <c r="AL41" s="35">
        <v>9</v>
      </c>
      <c r="AM41" s="35">
        <v>7</v>
      </c>
      <c r="AN41" s="36">
        <v>2</v>
      </c>
    </row>
    <row r="42" spans="1:40" ht="15" customHeight="1" x14ac:dyDescent="0.2">
      <c r="A42" s="34" t="s">
        <v>53</v>
      </c>
      <c r="B42" s="35">
        <v>41</v>
      </c>
      <c r="C42" s="35">
        <v>38</v>
      </c>
      <c r="D42" s="36">
        <v>3</v>
      </c>
      <c r="E42" s="35">
        <v>98</v>
      </c>
      <c r="F42" s="35">
        <v>64</v>
      </c>
      <c r="G42" s="36">
        <v>34</v>
      </c>
      <c r="H42" s="35">
        <v>0</v>
      </c>
      <c r="I42" s="35">
        <v>0</v>
      </c>
      <c r="J42" s="36">
        <v>0</v>
      </c>
      <c r="K42" s="35">
        <v>13</v>
      </c>
      <c r="L42" s="35">
        <v>8</v>
      </c>
      <c r="M42" s="36">
        <v>5</v>
      </c>
      <c r="N42" s="35">
        <v>21</v>
      </c>
      <c r="O42" s="35">
        <v>12</v>
      </c>
      <c r="P42" s="36">
        <v>9</v>
      </c>
      <c r="Q42" s="35">
        <v>17</v>
      </c>
      <c r="R42" s="35">
        <v>8</v>
      </c>
      <c r="S42" s="36">
        <v>9</v>
      </c>
      <c r="T42" s="35">
        <v>4</v>
      </c>
      <c r="U42" s="35">
        <v>4</v>
      </c>
      <c r="V42" s="36">
        <v>0</v>
      </c>
      <c r="W42" s="35">
        <v>0</v>
      </c>
      <c r="X42" s="35">
        <v>0</v>
      </c>
      <c r="Y42" s="36">
        <v>0</v>
      </c>
      <c r="Z42" s="35">
        <v>8</v>
      </c>
      <c r="AA42" s="35">
        <v>7</v>
      </c>
      <c r="AB42" s="36">
        <v>1</v>
      </c>
      <c r="AC42" s="35">
        <v>0</v>
      </c>
      <c r="AD42" s="35">
        <v>0</v>
      </c>
      <c r="AE42" s="36">
        <v>0</v>
      </c>
      <c r="AF42" s="35">
        <v>1</v>
      </c>
      <c r="AG42" s="35">
        <v>0</v>
      </c>
      <c r="AH42" s="36">
        <v>1</v>
      </c>
      <c r="AI42" s="35">
        <v>0</v>
      </c>
      <c r="AJ42" s="35">
        <v>0</v>
      </c>
      <c r="AK42" s="36">
        <v>0</v>
      </c>
      <c r="AL42" s="35">
        <v>6</v>
      </c>
      <c r="AM42" s="35">
        <v>4</v>
      </c>
      <c r="AN42" s="36">
        <v>2</v>
      </c>
    </row>
    <row r="43" spans="1:40" ht="15" customHeight="1" x14ac:dyDescent="0.2">
      <c r="A43" s="34" t="s">
        <v>54</v>
      </c>
      <c r="B43" s="35">
        <v>29</v>
      </c>
      <c r="C43" s="35">
        <v>28</v>
      </c>
      <c r="D43" s="36">
        <v>1</v>
      </c>
      <c r="E43" s="35">
        <v>134</v>
      </c>
      <c r="F43" s="35">
        <v>100</v>
      </c>
      <c r="G43" s="36">
        <v>34</v>
      </c>
      <c r="H43" s="35">
        <v>4</v>
      </c>
      <c r="I43" s="35">
        <v>4</v>
      </c>
      <c r="J43" s="36">
        <v>0</v>
      </c>
      <c r="K43" s="35">
        <v>59</v>
      </c>
      <c r="L43" s="35">
        <v>18</v>
      </c>
      <c r="M43" s="36">
        <v>41</v>
      </c>
      <c r="N43" s="35">
        <v>185</v>
      </c>
      <c r="O43" s="35">
        <v>92</v>
      </c>
      <c r="P43" s="36">
        <v>93</v>
      </c>
      <c r="Q43" s="35">
        <v>36</v>
      </c>
      <c r="R43" s="35">
        <v>21</v>
      </c>
      <c r="S43" s="36">
        <v>15</v>
      </c>
      <c r="T43" s="35">
        <v>27</v>
      </c>
      <c r="U43" s="35">
        <v>11</v>
      </c>
      <c r="V43" s="36">
        <v>16</v>
      </c>
      <c r="W43" s="35">
        <v>2</v>
      </c>
      <c r="X43" s="35">
        <v>2</v>
      </c>
      <c r="Y43" s="36">
        <v>0</v>
      </c>
      <c r="Z43" s="35">
        <v>22</v>
      </c>
      <c r="AA43" s="35">
        <v>14</v>
      </c>
      <c r="AB43" s="36">
        <v>8</v>
      </c>
      <c r="AC43" s="35">
        <v>1</v>
      </c>
      <c r="AD43" s="35">
        <v>1</v>
      </c>
      <c r="AE43" s="36">
        <v>0</v>
      </c>
      <c r="AF43" s="35">
        <v>7</v>
      </c>
      <c r="AG43" s="35">
        <v>4</v>
      </c>
      <c r="AH43" s="36">
        <v>3</v>
      </c>
      <c r="AI43" s="35">
        <v>1</v>
      </c>
      <c r="AJ43" s="35">
        <v>0</v>
      </c>
      <c r="AK43" s="36">
        <v>1</v>
      </c>
      <c r="AL43" s="35">
        <v>17</v>
      </c>
      <c r="AM43" s="35">
        <v>10</v>
      </c>
      <c r="AN43" s="36">
        <v>7</v>
      </c>
    </row>
    <row r="44" spans="1:40" ht="15" customHeight="1" x14ac:dyDescent="0.2">
      <c r="A44" s="34" t="s">
        <v>55</v>
      </c>
      <c r="B44" s="35">
        <v>3</v>
      </c>
      <c r="C44" s="35">
        <v>1</v>
      </c>
      <c r="D44" s="36">
        <v>2</v>
      </c>
      <c r="E44" s="35">
        <v>134.90299999999999</v>
      </c>
      <c r="F44" s="35">
        <v>61</v>
      </c>
      <c r="G44" s="36">
        <v>73.903000000000006</v>
      </c>
      <c r="H44" s="35">
        <v>4</v>
      </c>
      <c r="I44" s="35">
        <v>3</v>
      </c>
      <c r="J44" s="36">
        <v>1</v>
      </c>
      <c r="K44" s="35">
        <v>20</v>
      </c>
      <c r="L44" s="35">
        <v>5</v>
      </c>
      <c r="M44" s="36">
        <v>15</v>
      </c>
      <c r="N44" s="35">
        <v>82</v>
      </c>
      <c r="O44" s="35">
        <v>23</v>
      </c>
      <c r="P44" s="36">
        <v>59</v>
      </c>
      <c r="Q44" s="35">
        <v>16.096</v>
      </c>
      <c r="R44" s="35">
        <v>10</v>
      </c>
      <c r="S44" s="36">
        <v>6.0960000000000001</v>
      </c>
      <c r="T44" s="35">
        <v>5</v>
      </c>
      <c r="U44" s="35">
        <v>5</v>
      </c>
      <c r="V44" s="36">
        <v>0</v>
      </c>
      <c r="W44" s="35">
        <v>1</v>
      </c>
      <c r="X44" s="35">
        <v>1</v>
      </c>
      <c r="Y44" s="36">
        <v>0</v>
      </c>
      <c r="Z44" s="35">
        <v>13</v>
      </c>
      <c r="AA44" s="35">
        <v>10</v>
      </c>
      <c r="AB44" s="36">
        <v>3</v>
      </c>
      <c r="AC44" s="35">
        <v>1</v>
      </c>
      <c r="AD44" s="35">
        <v>0</v>
      </c>
      <c r="AE44" s="36">
        <v>1</v>
      </c>
      <c r="AF44" s="35">
        <v>2</v>
      </c>
      <c r="AG44" s="35">
        <v>2</v>
      </c>
      <c r="AH44" s="36">
        <v>0</v>
      </c>
      <c r="AI44" s="35">
        <v>1</v>
      </c>
      <c r="AJ44" s="35">
        <v>0</v>
      </c>
      <c r="AK44" s="36">
        <v>1</v>
      </c>
      <c r="AL44" s="35">
        <v>7</v>
      </c>
      <c r="AM44" s="35">
        <v>5</v>
      </c>
      <c r="AN44" s="36">
        <v>2</v>
      </c>
    </row>
    <row r="45" spans="1:40" ht="15" customHeight="1" x14ac:dyDescent="0.2">
      <c r="A45" s="34" t="s">
        <v>56</v>
      </c>
      <c r="B45" s="35">
        <v>45.165999999999997</v>
      </c>
      <c r="C45" s="35">
        <v>38</v>
      </c>
      <c r="D45" s="36">
        <v>7.1660000000000004</v>
      </c>
      <c r="E45" s="35">
        <v>239.333</v>
      </c>
      <c r="F45" s="35">
        <v>138</v>
      </c>
      <c r="G45" s="36">
        <v>101.333</v>
      </c>
      <c r="H45" s="35">
        <v>5</v>
      </c>
      <c r="I45" s="35">
        <v>4</v>
      </c>
      <c r="J45" s="36">
        <v>1</v>
      </c>
      <c r="K45" s="35">
        <v>21</v>
      </c>
      <c r="L45" s="35">
        <v>11</v>
      </c>
      <c r="M45" s="36">
        <v>10</v>
      </c>
      <c r="N45" s="35">
        <v>106</v>
      </c>
      <c r="O45" s="35">
        <v>40</v>
      </c>
      <c r="P45" s="36">
        <v>66</v>
      </c>
      <c r="Q45" s="35">
        <v>38</v>
      </c>
      <c r="R45" s="35">
        <v>33</v>
      </c>
      <c r="S45" s="36">
        <v>5</v>
      </c>
      <c r="T45" s="35">
        <v>16</v>
      </c>
      <c r="U45" s="35">
        <v>11</v>
      </c>
      <c r="V45" s="36">
        <v>5</v>
      </c>
      <c r="W45" s="35">
        <v>1</v>
      </c>
      <c r="X45" s="35">
        <v>0</v>
      </c>
      <c r="Y45" s="36">
        <v>1</v>
      </c>
      <c r="Z45" s="35">
        <v>30</v>
      </c>
      <c r="AA45" s="35">
        <v>25</v>
      </c>
      <c r="AB45" s="36">
        <v>5</v>
      </c>
      <c r="AC45" s="35">
        <v>1</v>
      </c>
      <c r="AD45" s="35">
        <v>1</v>
      </c>
      <c r="AE45" s="36">
        <v>0</v>
      </c>
      <c r="AF45" s="35">
        <v>7</v>
      </c>
      <c r="AG45" s="35">
        <v>5</v>
      </c>
      <c r="AH45" s="36">
        <v>2</v>
      </c>
      <c r="AI45" s="35">
        <v>0</v>
      </c>
      <c r="AJ45" s="35">
        <v>0</v>
      </c>
      <c r="AK45" s="36">
        <v>0</v>
      </c>
      <c r="AL45" s="35">
        <v>26.5</v>
      </c>
      <c r="AM45" s="35">
        <v>16</v>
      </c>
      <c r="AN45" s="36">
        <v>10.5</v>
      </c>
    </row>
    <row r="46" spans="1:40" ht="15" customHeight="1" x14ac:dyDescent="0.2">
      <c r="A46" s="34" t="s">
        <v>57</v>
      </c>
      <c r="B46" s="35">
        <v>29.05</v>
      </c>
      <c r="C46" s="35">
        <v>25</v>
      </c>
      <c r="D46" s="36">
        <v>4.05</v>
      </c>
      <c r="E46" s="35">
        <v>296.89999999999998</v>
      </c>
      <c r="F46" s="35">
        <v>156</v>
      </c>
      <c r="G46" s="36">
        <v>140.9</v>
      </c>
      <c r="H46" s="35">
        <v>10</v>
      </c>
      <c r="I46" s="35">
        <v>9</v>
      </c>
      <c r="J46" s="36">
        <v>1</v>
      </c>
      <c r="K46" s="35">
        <v>45</v>
      </c>
      <c r="L46" s="35">
        <v>21</v>
      </c>
      <c r="M46" s="36">
        <v>24</v>
      </c>
      <c r="N46" s="35">
        <v>53.05</v>
      </c>
      <c r="O46" s="35">
        <v>32</v>
      </c>
      <c r="P46" s="36">
        <v>21.05</v>
      </c>
      <c r="Q46" s="35">
        <v>35.1</v>
      </c>
      <c r="R46" s="35">
        <v>31</v>
      </c>
      <c r="S46" s="36">
        <v>4.0999999999999996</v>
      </c>
      <c r="T46" s="35">
        <v>28</v>
      </c>
      <c r="U46" s="35">
        <v>26</v>
      </c>
      <c r="V46" s="36">
        <v>2</v>
      </c>
      <c r="W46" s="35">
        <v>2</v>
      </c>
      <c r="X46" s="35">
        <v>1</v>
      </c>
      <c r="Y46" s="36">
        <v>1</v>
      </c>
      <c r="Z46" s="35">
        <v>31</v>
      </c>
      <c r="AA46" s="35">
        <v>24</v>
      </c>
      <c r="AB46" s="36">
        <v>7</v>
      </c>
      <c r="AC46" s="35">
        <v>1</v>
      </c>
      <c r="AD46" s="35">
        <v>1</v>
      </c>
      <c r="AE46" s="36">
        <v>0</v>
      </c>
      <c r="AF46" s="35">
        <v>0</v>
      </c>
      <c r="AG46" s="35">
        <v>0</v>
      </c>
      <c r="AH46" s="36">
        <v>0</v>
      </c>
      <c r="AI46" s="35">
        <v>1</v>
      </c>
      <c r="AJ46" s="35">
        <v>1</v>
      </c>
      <c r="AK46" s="36">
        <v>0</v>
      </c>
      <c r="AL46" s="35">
        <v>30.9</v>
      </c>
      <c r="AM46" s="35">
        <v>12</v>
      </c>
      <c r="AN46" s="36">
        <v>18.899999999999999</v>
      </c>
    </row>
    <row r="47" spans="1:40" ht="15" customHeight="1" x14ac:dyDescent="0.2">
      <c r="A47" s="34" t="s">
        <v>58</v>
      </c>
      <c r="B47" s="35">
        <v>179</v>
      </c>
      <c r="C47" s="35">
        <v>161</v>
      </c>
      <c r="D47" s="36">
        <v>18</v>
      </c>
      <c r="E47" s="35">
        <v>686.06700000000001</v>
      </c>
      <c r="F47" s="35">
        <v>474</v>
      </c>
      <c r="G47" s="36">
        <v>212.06700000000001</v>
      </c>
      <c r="H47" s="35">
        <v>14</v>
      </c>
      <c r="I47" s="35">
        <v>9</v>
      </c>
      <c r="J47" s="36">
        <v>5</v>
      </c>
      <c r="K47" s="35">
        <v>563.80899999999997</v>
      </c>
      <c r="L47" s="35">
        <v>191</v>
      </c>
      <c r="M47" s="36">
        <v>372.80900000000003</v>
      </c>
      <c r="N47" s="35">
        <v>482.274</v>
      </c>
      <c r="O47" s="35">
        <v>156</v>
      </c>
      <c r="P47" s="36">
        <v>326.274</v>
      </c>
      <c r="Q47" s="35">
        <v>185</v>
      </c>
      <c r="R47" s="35">
        <v>139</v>
      </c>
      <c r="S47" s="36">
        <v>46</v>
      </c>
      <c r="T47" s="35">
        <v>110</v>
      </c>
      <c r="U47" s="35">
        <v>90</v>
      </c>
      <c r="V47" s="36">
        <v>20</v>
      </c>
      <c r="W47" s="35">
        <v>28</v>
      </c>
      <c r="X47" s="35">
        <v>21</v>
      </c>
      <c r="Y47" s="36">
        <v>7</v>
      </c>
      <c r="Z47" s="35">
        <v>212.19</v>
      </c>
      <c r="AA47" s="35">
        <v>153</v>
      </c>
      <c r="AB47" s="36">
        <v>59.19</v>
      </c>
      <c r="AC47" s="35">
        <v>9</v>
      </c>
      <c r="AD47" s="35">
        <v>3</v>
      </c>
      <c r="AE47" s="36">
        <v>6</v>
      </c>
      <c r="AF47" s="35">
        <v>20</v>
      </c>
      <c r="AG47" s="35">
        <v>15</v>
      </c>
      <c r="AH47" s="36">
        <v>5</v>
      </c>
      <c r="AI47" s="35">
        <v>9</v>
      </c>
      <c r="AJ47" s="35">
        <v>8</v>
      </c>
      <c r="AK47" s="36">
        <v>1</v>
      </c>
      <c r="AL47" s="35">
        <v>133.655</v>
      </c>
      <c r="AM47" s="35">
        <v>73</v>
      </c>
      <c r="AN47" s="36">
        <v>60.655000000000001</v>
      </c>
    </row>
    <row r="48" spans="1:40" ht="15" customHeight="1" x14ac:dyDescent="0.2">
      <c r="A48" s="34" t="s">
        <v>59</v>
      </c>
      <c r="B48" s="35">
        <v>1595.44</v>
      </c>
      <c r="C48" s="35">
        <v>1447</v>
      </c>
      <c r="D48" s="36">
        <v>148.44</v>
      </c>
      <c r="E48" s="35">
        <v>2860.5590000000002</v>
      </c>
      <c r="F48" s="35">
        <v>1889.875</v>
      </c>
      <c r="G48" s="36">
        <v>970.68399999999997</v>
      </c>
      <c r="H48" s="35">
        <v>71.088999999999999</v>
      </c>
      <c r="I48" s="35">
        <v>40</v>
      </c>
      <c r="J48" s="36">
        <v>31.088999999999999</v>
      </c>
      <c r="K48" s="35">
        <v>1586.797</v>
      </c>
      <c r="L48" s="35">
        <v>628</v>
      </c>
      <c r="M48" s="36">
        <v>958.79700000000003</v>
      </c>
      <c r="N48" s="35">
        <v>1516.114</v>
      </c>
      <c r="O48" s="35">
        <v>441</v>
      </c>
      <c r="P48" s="36">
        <v>1075.114</v>
      </c>
      <c r="Q48" s="35">
        <v>882.20699999999999</v>
      </c>
      <c r="R48" s="35">
        <v>608</v>
      </c>
      <c r="S48" s="36">
        <v>274.20699999999999</v>
      </c>
      <c r="T48" s="35">
        <v>464</v>
      </c>
      <c r="U48" s="35">
        <v>382</v>
      </c>
      <c r="V48" s="36">
        <v>82</v>
      </c>
      <c r="W48" s="35">
        <v>78</v>
      </c>
      <c r="X48" s="35">
        <v>68</v>
      </c>
      <c r="Y48" s="36">
        <v>10</v>
      </c>
      <c r="Z48" s="35">
        <v>1023.202</v>
      </c>
      <c r="AA48" s="35">
        <v>790</v>
      </c>
      <c r="AB48" s="36">
        <v>233.202</v>
      </c>
      <c r="AC48" s="35">
        <v>38.832999999999998</v>
      </c>
      <c r="AD48" s="35">
        <v>30.832999999999998</v>
      </c>
      <c r="AE48" s="36">
        <v>8</v>
      </c>
      <c r="AF48" s="35">
        <v>255</v>
      </c>
      <c r="AG48" s="35">
        <v>206</v>
      </c>
      <c r="AH48" s="36">
        <v>49</v>
      </c>
      <c r="AI48" s="35">
        <v>34</v>
      </c>
      <c r="AJ48" s="35">
        <v>26</v>
      </c>
      <c r="AK48" s="36">
        <v>8</v>
      </c>
      <c r="AL48" s="35">
        <v>651.74699999999996</v>
      </c>
      <c r="AM48" s="35">
        <v>345.5</v>
      </c>
      <c r="AN48" s="36">
        <v>306.24700000000001</v>
      </c>
    </row>
    <row r="49" spans="1:40" ht="15" customHeight="1" x14ac:dyDescent="0.2">
      <c r="A49" s="34" t="s">
        <v>60</v>
      </c>
      <c r="B49" s="35">
        <v>14</v>
      </c>
      <c r="C49" s="35">
        <v>10</v>
      </c>
      <c r="D49" s="36">
        <v>4</v>
      </c>
      <c r="E49" s="35">
        <v>175</v>
      </c>
      <c r="F49" s="35">
        <v>66</v>
      </c>
      <c r="G49" s="36">
        <v>109</v>
      </c>
      <c r="H49" s="35">
        <v>1</v>
      </c>
      <c r="I49" s="35">
        <v>0</v>
      </c>
      <c r="J49" s="36">
        <v>1</v>
      </c>
      <c r="K49" s="35">
        <v>48</v>
      </c>
      <c r="L49" s="35">
        <v>11</v>
      </c>
      <c r="M49" s="36">
        <v>37</v>
      </c>
      <c r="N49" s="35">
        <v>150</v>
      </c>
      <c r="O49" s="35">
        <v>44</v>
      </c>
      <c r="P49" s="36">
        <v>106</v>
      </c>
      <c r="Q49" s="35">
        <v>4</v>
      </c>
      <c r="R49" s="35">
        <v>0</v>
      </c>
      <c r="S49" s="36">
        <v>4</v>
      </c>
      <c r="T49" s="35">
        <v>15</v>
      </c>
      <c r="U49" s="35">
        <v>9</v>
      </c>
      <c r="V49" s="36">
        <v>6</v>
      </c>
      <c r="W49" s="35">
        <v>0</v>
      </c>
      <c r="X49" s="35">
        <v>0</v>
      </c>
      <c r="Y49" s="36">
        <v>0</v>
      </c>
      <c r="Z49" s="35">
        <v>23</v>
      </c>
      <c r="AA49" s="35">
        <v>19</v>
      </c>
      <c r="AB49" s="36">
        <v>4</v>
      </c>
      <c r="AC49" s="35">
        <v>0</v>
      </c>
      <c r="AD49" s="35">
        <v>0</v>
      </c>
      <c r="AE49" s="36">
        <v>0</v>
      </c>
      <c r="AF49" s="35">
        <v>0</v>
      </c>
      <c r="AG49" s="35">
        <v>0</v>
      </c>
      <c r="AH49" s="36">
        <v>0</v>
      </c>
      <c r="AI49" s="35">
        <v>0</v>
      </c>
      <c r="AJ49" s="35">
        <v>0</v>
      </c>
      <c r="AK49" s="36">
        <v>0</v>
      </c>
      <c r="AL49" s="35">
        <v>10</v>
      </c>
      <c r="AM49" s="35">
        <v>6</v>
      </c>
      <c r="AN49" s="36">
        <v>4</v>
      </c>
    </row>
    <row r="50" spans="1:40" ht="15" customHeight="1" x14ac:dyDescent="0.2">
      <c r="A50" s="34" t="s">
        <v>61</v>
      </c>
      <c r="B50" s="35">
        <v>185.93700000000001</v>
      </c>
      <c r="C50" s="35">
        <v>166</v>
      </c>
      <c r="D50" s="36">
        <v>19.937000000000001</v>
      </c>
      <c r="E50" s="35">
        <v>477.33300000000003</v>
      </c>
      <c r="F50" s="35">
        <v>352</v>
      </c>
      <c r="G50" s="36">
        <v>125.333</v>
      </c>
      <c r="H50" s="35">
        <v>12</v>
      </c>
      <c r="I50" s="35">
        <v>10</v>
      </c>
      <c r="J50" s="36">
        <v>2</v>
      </c>
      <c r="K50" s="35">
        <v>150.78700000000001</v>
      </c>
      <c r="L50" s="35">
        <v>78</v>
      </c>
      <c r="M50" s="36">
        <v>72.787000000000006</v>
      </c>
      <c r="N50" s="35">
        <v>467.02300000000002</v>
      </c>
      <c r="O50" s="35">
        <v>126</v>
      </c>
      <c r="P50" s="36">
        <v>341.02300000000002</v>
      </c>
      <c r="Q50" s="35">
        <v>105.8</v>
      </c>
      <c r="R50" s="35">
        <v>77</v>
      </c>
      <c r="S50" s="36">
        <v>28.8</v>
      </c>
      <c r="T50" s="35">
        <v>76</v>
      </c>
      <c r="U50" s="35">
        <v>66</v>
      </c>
      <c r="V50" s="36">
        <v>10</v>
      </c>
      <c r="W50" s="35">
        <v>19</v>
      </c>
      <c r="X50" s="35">
        <v>17</v>
      </c>
      <c r="Y50" s="36">
        <v>2</v>
      </c>
      <c r="Z50" s="35">
        <v>147.21199999999999</v>
      </c>
      <c r="AA50" s="35">
        <v>111</v>
      </c>
      <c r="AB50" s="36">
        <v>36.212000000000003</v>
      </c>
      <c r="AC50" s="35">
        <v>2</v>
      </c>
      <c r="AD50" s="35">
        <v>1</v>
      </c>
      <c r="AE50" s="36">
        <v>1</v>
      </c>
      <c r="AF50" s="35">
        <v>23</v>
      </c>
      <c r="AG50" s="35">
        <v>14</v>
      </c>
      <c r="AH50" s="36">
        <v>9</v>
      </c>
      <c r="AI50" s="35">
        <v>5</v>
      </c>
      <c r="AJ50" s="35">
        <v>3</v>
      </c>
      <c r="AK50" s="36">
        <v>2</v>
      </c>
      <c r="AL50" s="35">
        <v>316.90499999999997</v>
      </c>
      <c r="AM50" s="35">
        <v>134</v>
      </c>
      <c r="AN50" s="36">
        <v>182.905</v>
      </c>
    </row>
    <row r="51" spans="1:40" ht="15" customHeight="1" thickBot="1" x14ac:dyDescent="0.25">
      <c r="A51" s="31" t="s">
        <v>62</v>
      </c>
      <c r="B51" s="32">
        <v>33</v>
      </c>
      <c r="C51" s="32">
        <v>27</v>
      </c>
      <c r="D51" s="33">
        <v>6</v>
      </c>
      <c r="E51" s="32">
        <v>331</v>
      </c>
      <c r="F51" s="32">
        <v>238</v>
      </c>
      <c r="G51" s="33">
        <v>93</v>
      </c>
      <c r="H51" s="32">
        <v>3</v>
      </c>
      <c r="I51" s="32">
        <v>2</v>
      </c>
      <c r="J51" s="33">
        <v>1</v>
      </c>
      <c r="K51" s="32">
        <v>91.951999999999998</v>
      </c>
      <c r="L51" s="32">
        <v>22</v>
      </c>
      <c r="M51" s="33">
        <v>69.951999999999998</v>
      </c>
      <c r="N51" s="32">
        <v>163.08199999999999</v>
      </c>
      <c r="O51" s="32">
        <v>54</v>
      </c>
      <c r="P51" s="33">
        <v>109.08199999999999</v>
      </c>
      <c r="Q51" s="32">
        <v>38</v>
      </c>
      <c r="R51" s="32">
        <v>26</v>
      </c>
      <c r="S51" s="33">
        <v>12</v>
      </c>
      <c r="T51" s="32">
        <v>36</v>
      </c>
      <c r="U51" s="32">
        <v>22</v>
      </c>
      <c r="V51" s="33">
        <v>14</v>
      </c>
      <c r="W51" s="32">
        <v>3</v>
      </c>
      <c r="X51" s="32">
        <v>3</v>
      </c>
      <c r="Y51" s="33">
        <v>0</v>
      </c>
      <c r="Z51" s="32">
        <v>29.045000000000002</v>
      </c>
      <c r="AA51" s="32">
        <v>22</v>
      </c>
      <c r="AB51" s="33">
        <v>7.0449999999999999</v>
      </c>
      <c r="AC51" s="32">
        <v>0</v>
      </c>
      <c r="AD51" s="32">
        <v>0</v>
      </c>
      <c r="AE51" s="33">
        <v>0</v>
      </c>
      <c r="AF51" s="32">
        <v>8</v>
      </c>
      <c r="AG51" s="32">
        <v>5</v>
      </c>
      <c r="AH51" s="33">
        <v>3</v>
      </c>
      <c r="AI51" s="32">
        <v>1</v>
      </c>
      <c r="AJ51" s="32">
        <v>1</v>
      </c>
      <c r="AK51" s="33">
        <v>0</v>
      </c>
      <c r="AL51" s="32">
        <v>52.915999999999997</v>
      </c>
      <c r="AM51" s="32">
        <v>30</v>
      </c>
      <c r="AN51" s="33">
        <v>22.916</v>
      </c>
    </row>
    <row r="52" spans="1:40" ht="15" customHeight="1" thickTop="1" thickBot="1" x14ac:dyDescent="0.25">
      <c r="A52" s="27" t="str">
        <f ca="1">A3&amp;"合計"</f>
        <v>沖縄県合計</v>
      </c>
      <c r="B52" s="28">
        <f t="shared" ref="B52:AN52" si="0">SUM(B11:B51)</f>
        <v>55914.219000000005</v>
      </c>
      <c r="C52" s="28">
        <f t="shared" si="0"/>
        <v>49212</v>
      </c>
      <c r="D52" s="29">
        <f t="shared" si="0"/>
        <v>6702.2190000000001</v>
      </c>
      <c r="E52" s="28">
        <f t="shared" si="0"/>
        <v>135271.07800000004</v>
      </c>
      <c r="F52" s="28">
        <f t="shared" si="0"/>
        <v>85312.790000000008</v>
      </c>
      <c r="G52" s="29">
        <f t="shared" si="0"/>
        <v>49958.288</v>
      </c>
      <c r="H52" s="28">
        <f t="shared" si="0"/>
        <v>3349.4539999999997</v>
      </c>
      <c r="I52" s="28">
        <f t="shared" si="0"/>
        <v>2073</v>
      </c>
      <c r="J52" s="29">
        <f t="shared" si="0"/>
        <v>1276.4540000000002</v>
      </c>
      <c r="K52" s="28">
        <f t="shared" si="0"/>
        <v>100404.01000000002</v>
      </c>
      <c r="L52" s="28">
        <f t="shared" si="0"/>
        <v>31631</v>
      </c>
      <c r="M52" s="29">
        <f t="shared" si="0"/>
        <v>68773.009999999995</v>
      </c>
      <c r="N52" s="28">
        <f t="shared" si="0"/>
        <v>75811.460000000006</v>
      </c>
      <c r="O52" s="28">
        <f t="shared" si="0"/>
        <v>19860</v>
      </c>
      <c r="P52" s="29">
        <f t="shared" si="0"/>
        <v>55951.459999999992</v>
      </c>
      <c r="Q52" s="28">
        <f t="shared" si="0"/>
        <v>32607.894999999997</v>
      </c>
      <c r="R52" s="28">
        <f t="shared" si="0"/>
        <v>22698</v>
      </c>
      <c r="S52" s="29">
        <f t="shared" si="0"/>
        <v>9909.8950000000004</v>
      </c>
      <c r="T52" s="28">
        <f t="shared" si="0"/>
        <v>21542.646000000004</v>
      </c>
      <c r="U52" s="28">
        <f t="shared" si="0"/>
        <v>17047</v>
      </c>
      <c r="V52" s="29">
        <f t="shared" si="0"/>
        <v>4495.6460000000015</v>
      </c>
      <c r="W52" s="28">
        <f t="shared" si="0"/>
        <v>3388</v>
      </c>
      <c r="X52" s="28">
        <f t="shared" si="0"/>
        <v>2789</v>
      </c>
      <c r="Y52" s="29">
        <f t="shared" si="0"/>
        <v>599</v>
      </c>
      <c r="Z52" s="28">
        <f t="shared" si="0"/>
        <v>42042.265999999996</v>
      </c>
      <c r="AA52" s="28">
        <f t="shared" si="0"/>
        <v>33042</v>
      </c>
      <c r="AB52" s="29">
        <f t="shared" si="0"/>
        <v>9000.2660000000014</v>
      </c>
      <c r="AC52" s="28">
        <f t="shared" si="0"/>
        <v>1214.134</v>
      </c>
      <c r="AD52" s="28">
        <f t="shared" si="0"/>
        <v>819.14199999999994</v>
      </c>
      <c r="AE52" s="29">
        <f t="shared" si="0"/>
        <v>394.99200000000002</v>
      </c>
      <c r="AF52" s="28">
        <f t="shared" si="0"/>
        <v>10811.314</v>
      </c>
      <c r="AG52" s="28">
        <f t="shared" si="0"/>
        <v>8516</v>
      </c>
      <c r="AH52" s="29">
        <f t="shared" si="0"/>
        <v>2295.3140000000003</v>
      </c>
      <c r="AI52" s="28">
        <f>SUM(AI11:AI51)</f>
        <v>1938</v>
      </c>
      <c r="AJ52" s="28">
        <f>SUM(AJ11:AJ51)</f>
        <v>1389</v>
      </c>
      <c r="AK52" s="29">
        <f>SUM(AK11:AK51)</f>
        <v>549</v>
      </c>
      <c r="AL52" s="28">
        <f t="shared" si="0"/>
        <v>38025.1</v>
      </c>
      <c r="AM52" s="28">
        <f t="shared" si="0"/>
        <v>18202.774000000001</v>
      </c>
      <c r="AN52" s="29">
        <f t="shared" si="0"/>
        <v>19822.326000000001</v>
      </c>
    </row>
    <row r="53" spans="1:40" ht="15" customHeight="1" x14ac:dyDescent="0.2">
      <c r="B53" s="25"/>
      <c r="T53" s="25"/>
    </row>
  </sheetData>
  <mergeCells count="15">
    <mergeCell ref="AF6:AH6"/>
    <mergeCell ref="AL6:AN6"/>
    <mergeCell ref="T6:V6"/>
    <mergeCell ref="W6:Y6"/>
    <mergeCell ref="Z6:AB6"/>
    <mergeCell ref="AC6:AE6"/>
    <mergeCell ref="AI6:AK6"/>
    <mergeCell ref="Q6:S6"/>
    <mergeCell ref="K6:M6"/>
    <mergeCell ref="N6:P6"/>
    <mergeCell ref="A5:A7"/>
    <mergeCell ref="A8:A10"/>
    <mergeCell ref="B6:D6"/>
    <mergeCell ref="E6:G6"/>
    <mergeCell ref="H6:J6"/>
  </mergeCells>
  <phoneticPr fontId="2"/>
  <printOptions horizontalCentered="1"/>
  <pageMargins left="0.39370078740157483" right="0.39370078740157483" top="0.39370078740157483" bottom="0.39370078740157483" header="0.39370078740157483" footer="0.19685039370078741"/>
  <pageSetup paperSize="9" scale="74" orientation="landscape" r:id="rId1"/>
  <headerFooter alignWithMargins="0"/>
  <rowBreaks count="1" manualBreakCount="1">
    <brk id="55" max="16383" man="1"/>
  </rowBreaks>
  <colBreaks count="4" manualBreakCount="4">
    <brk id="10" max="1048575" man="1"/>
    <brk id="19" max="1048575" man="1"/>
    <brk id="28" max="1048575" man="1"/>
    <brk id="3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沖縄県</vt:lpstr>
      <vt:lpstr>沖縄県!Print_Area</vt:lpstr>
      <vt:lpstr>沖縄県!Print_Titles</vt:lpstr>
    </vt:vector>
  </TitlesOfParts>
  <Company>総務省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総務省</dc:creator>
  <cp:lastModifiedBy>Administrator</cp:lastModifiedBy>
  <cp:lastPrinted>2019-07-24T12:11:20Z</cp:lastPrinted>
  <dcterms:created xsi:type="dcterms:W3CDTF">2013-08-08T10:31:51Z</dcterms:created>
  <dcterms:modified xsi:type="dcterms:W3CDTF">2019-07-31T04:24:59Z</dcterms:modified>
</cp:coreProperties>
</file>