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◎平成20年度以降\01　課共通\02　参議院通常選挙\第25回＜令和元年＞\（準備）二係末席（緑川）\15_市区町村別得票数調\03_HP掲載用データ\09_栃木県\"/>
    </mc:Choice>
  </mc:AlternateContent>
  <bookViews>
    <workbookView xWindow="240" yWindow="120" windowWidth="14940" windowHeight="8496"/>
  </bookViews>
  <sheets>
    <sheet name="栃木県" sheetId="4" r:id="rId1"/>
  </sheets>
  <definedNames>
    <definedName name="_xlnm.Print_Area" localSheetId="0">栃木県!$A$1:$H$31</definedName>
    <definedName name="_xlnm.Print_Titles" localSheetId="0">栃木県!$A:$A,栃木県!$1:$5</definedName>
  </definedNames>
  <calcPr calcId="152511"/>
</workbook>
</file>

<file path=xl/calcChain.xml><?xml version="1.0" encoding="utf-8"?>
<calcChain xmlns="http://schemas.openxmlformats.org/spreadsheetml/2006/main">
  <c r="B31" i="4" l="1"/>
  <c r="H20" i="4" l="1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A3" i="4"/>
  <c r="A31" i="4" s="1"/>
  <c r="G31" i="4"/>
  <c r="F31" i="4"/>
  <c r="E31" i="4"/>
  <c r="D31" i="4"/>
  <c r="C31" i="4"/>
  <c r="H30" i="4"/>
  <c r="H29" i="4"/>
  <c r="H28" i="4"/>
  <c r="H27" i="4"/>
  <c r="H26" i="4"/>
  <c r="H25" i="4"/>
  <c r="H24" i="4"/>
  <c r="H23" i="4"/>
  <c r="H22" i="4"/>
  <c r="H21" i="4"/>
  <c r="H6" i="4"/>
  <c r="H31" i="4" l="1"/>
</calcChain>
</file>

<file path=xl/sharedStrings.xml><?xml version="1.0" encoding="utf-8"?>
<sst xmlns="http://schemas.openxmlformats.org/spreadsheetml/2006/main" count="37" uniqueCount="37">
  <si>
    <t>候補者名</t>
    <rPh sb="0" eb="3">
      <t>コウホシャ</t>
    </rPh>
    <rPh sb="3" eb="4">
      <t>メイ</t>
    </rPh>
    <phoneticPr fontId="1"/>
  </si>
  <si>
    <t>得票数計</t>
    <rPh sb="0" eb="1">
      <t>エ</t>
    </rPh>
    <rPh sb="1" eb="2">
      <t>ヒョウ</t>
    </rPh>
    <rPh sb="2" eb="3">
      <t>カズ</t>
    </rPh>
    <rPh sb="3" eb="4">
      <t>ケイ</t>
    </rPh>
    <phoneticPr fontId="1"/>
  </si>
  <si>
    <t>[単位：票]</t>
    <rPh sb="1" eb="3">
      <t>タンイ</t>
    </rPh>
    <rPh sb="4" eb="5">
      <t>ヒョウ</t>
    </rPh>
    <phoneticPr fontId="1"/>
  </si>
  <si>
    <t>参議院議員通常選挙（選挙区）　候補者別市区町村別得票数一覧</t>
    <rPh sb="0" eb="1">
      <t>サン</t>
    </rPh>
    <rPh sb="5" eb="7">
      <t>ツウジョウ</t>
    </rPh>
    <rPh sb="10" eb="13">
      <t>センキョク</t>
    </rPh>
    <phoneticPr fontId="1"/>
  </si>
  <si>
    <t>市区町村名＼政党等名</t>
    <rPh sb="0" eb="4">
      <t>シクチョウソン</t>
    </rPh>
    <rPh sb="4" eb="5">
      <t>メイ</t>
    </rPh>
    <rPh sb="8" eb="9">
      <t>トウ</t>
    </rPh>
    <phoneticPr fontId="1"/>
  </si>
  <si>
    <t>令和元年7月21日執行</t>
    <rPh sb="0" eb="2">
      <t>レイワ</t>
    </rPh>
    <rPh sb="2" eb="4">
      <t>ガンネン</t>
    </rPh>
    <phoneticPr fontId="1"/>
  </si>
  <si>
    <t>町田　紀光</t>
  </si>
  <si>
    <t>高橋　かつのり</t>
  </si>
  <si>
    <t>加藤　ちほ</t>
  </si>
  <si>
    <t>ＮＨＫから国民を守る党</t>
  </si>
  <si>
    <t>自由民主党</t>
  </si>
  <si>
    <t>立憲民主党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</si>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</sst>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00"/>
  </numFmts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0000FF"/>
      <name val="ＭＳ ゴシック"/>
      <family val="3"/>
      <charset val="128"/>
    </font>
    <font>
      <b/>
      <sz val="12"/>
      <color rgb="FF0000F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right"/>
    </xf>
    <xf numFmtId="58" fontId="4" fillId="0" borderId="0" xfId="0" applyNumberFormat="1" applyFont="1" applyFill="1" applyBorder="1" applyAlignment="1">
      <alignment horizontal="right"/>
    </xf>
    <xf numFmtId="32" fontId="4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distributed"/>
    </xf>
    <xf numFmtId="0" fontId="3" fillId="0" borderId="1" xfId="0" applyFont="1" applyFill="1" applyBorder="1" applyAlignment="1">
      <alignment horizontal="right"/>
    </xf>
    <xf numFmtId="0" fontId="3" fillId="0" borderId="1" xfId="0" applyNumberFormat="1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distributed"/>
    </xf>
    <xf numFmtId="0" fontId="3" fillId="0" borderId="0" xfId="0" applyNumberFormat="1" applyFont="1" applyFill="1" applyBorder="1" applyAlignment="1">
      <alignment horizontal="right"/>
    </xf>
    <xf numFmtId="176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right"/>
    </xf>
    <xf numFmtId="58" fontId="4" fillId="0" borderId="0" xfId="0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horizontal="distributed" vertical="center"/>
    </xf>
    <xf numFmtId="0" fontId="6" fillId="0" borderId="4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distributed" vertical="center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177" fontId="8" fillId="0" borderId="3" xfId="0" applyNumberFormat="1" applyFont="1" applyFill="1" applyBorder="1" applyAlignment="1">
      <alignment horizontal="right" vertical="center" shrinkToFit="1"/>
    </xf>
    <xf numFmtId="0" fontId="6" fillId="0" borderId="4" xfId="0" applyFont="1" applyFill="1" applyBorder="1" applyAlignment="1">
      <alignment horizontal="distributed" vertical="center"/>
    </xf>
    <xf numFmtId="177" fontId="6" fillId="0" borderId="4" xfId="0" applyNumberFormat="1" applyFont="1" applyFill="1" applyBorder="1" applyAlignment="1">
      <alignment horizontal="right" vertical="center" shrinkToFit="1"/>
    </xf>
    <xf numFmtId="177" fontId="8" fillId="0" borderId="4" xfId="0" applyNumberFormat="1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distributed" vertical="center"/>
    </xf>
    <xf numFmtId="177" fontId="6" fillId="0" borderId="8" xfId="0" applyNumberFormat="1" applyFont="1" applyFill="1" applyBorder="1" applyAlignment="1">
      <alignment horizontal="right" vertical="center" shrinkToFit="1"/>
    </xf>
    <xf numFmtId="177" fontId="8" fillId="0" borderId="8" xfId="0" applyNumberFormat="1" applyFont="1" applyFill="1" applyBorder="1" applyAlignment="1">
      <alignment horizontal="right" vertical="center" shrinkToFit="1"/>
    </xf>
    <xf numFmtId="0" fontId="6" fillId="0" borderId="9" xfId="0" applyFont="1" applyFill="1" applyBorder="1" applyAlignment="1">
      <alignment horizontal="distributed" vertical="center"/>
    </xf>
    <xf numFmtId="177" fontId="6" fillId="0" borderId="9" xfId="0" applyNumberFormat="1" applyFont="1" applyFill="1" applyBorder="1" applyAlignment="1">
      <alignment horizontal="right" vertical="center" shrinkToFit="1"/>
    </xf>
    <xf numFmtId="177" fontId="8" fillId="0" borderId="9" xfId="0" applyNumberFormat="1" applyFont="1" applyFill="1" applyBorder="1" applyAlignment="1">
      <alignment horizontal="right" vertical="center" shrinkToFit="1"/>
    </xf>
    <xf numFmtId="0" fontId="2" fillId="0" borderId="0" xfId="0" applyFont="1" applyFill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indent="7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9"/>
  <sheetViews>
    <sheetView showGridLines="0" showZeros="0" tabSelected="1" view="pageBreakPreview" zoomScaleNormal="8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" sqref="B2:H2"/>
    </sheetView>
  </sheetViews>
  <sheetFormatPr defaultColWidth="17.77734375" defaultRowHeight="21" customHeight="1"/>
  <cols>
    <col min="1" max="1" width="21.109375" style="1" customWidth="1"/>
    <col min="2" max="2" width="17.77734375" style="7"/>
    <col min="3" max="7" width="17.77734375" style="6"/>
    <col min="8" max="8" width="17.77734375" style="15"/>
    <col min="9" max="16384" width="17.77734375" style="1"/>
  </cols>
  <sheetData>
    <row r="1" spans="1:11" ht="21" customHeight="1">
      <c r="A1" s="18" t="s">
        <v>5</v>
      </c>
      <c r="B1" s="3"/>
      <c r="C1" s="3"/>
      <c r="D1" s="3"/>
      <c r="E1" s="3"/>
      <c r="F1" s="3"/>
      <c r="G1" s="3"/>
      <c r="H1" s="4"/>
      <c r="J1" s="2"/>
      <c r="K1" s="5"/>
    </row>
    <row r="2" spans="1:11" ht="21" customHeight="1">
      <c r="A2" s="34"/>
      <c r="B2" s="37" t="s">
        <v>3</v>
      </c>
      <c r="C2" s="37"/>
      <c r="D2" s="37"/>
      <c r="E2" s="37"/>
      <c r="F2" s="37"/>
      <c r="G2" s="37"/>
      <c r="H2" s="37"/>
      <c r="J2" s="2"/>
      <c r="K2" s="2"/>
    </row>
    <row r="3" spans="1:11" ht="21" customHeight="1">
      <c r="A3" s="21" t="str">
        <f ca="1">RIGHT(CELL("filename",A3),LEN(CELL("filename",A3))-FIND("]",CELL("filename",A3)))</f>
        <v>栃木県</v>
      </c>
      <c r="B3" s="2"/>
      <c r="H3" s="17" t="s">
        <v>2</v>
      </c>
      <c r="K3" s="7"/>
    </row>
    <row r="4" spans="1:11" ht="21" customHeight="1">
      <c r="A4" s="16" t="s">
        <v>0</v>
      </c>
      <c r="B4" s="22" t="s">
        <v>6</v>
      </c>
      <c r="C4" s="22" t="s">
        <v>7</v>
      </c>
      <c r="D4" s="22" t="s">
        <v>8</v>
      </c>
      <c r="E4" s="22"/>
      <c r="F4" s="22"/>
      <c r="G4" s="22"/>
      <c r="H4" s="35" t="s">
        <v>1</v>
      </c>
    </row>
    <row r="5" spans="1:11" ht="21" customHeight="1">
      <c r="A5" s="20" t="s">
        <v>4</v>
      </c>
      <c r="B5" s="23" t="s">
        <v>9</v>
      </c>
      <c r="C5" s="23" t="s">
        <v>10</v>
      </c>
      <c r="D5" s="23" t="s">
        <v>11</v>
      </c>
      <c r="E5" s="23"/>
      <c r="F5" s="23"/>
      <c r="G5" s="23"/>
      <c r="H5" s="36"/>
    </row>
    <row r="6" spans="1:11" ht="21" customHeight="1">
      <c r="A6" s="25" t="s">
        <v>12</v>
      </c>
      <c r="B6" s="26">
        <v>10801</v>
      </c>
      <c r="C6" s="26">
        <v>90185</v>
      </c>
      <c r="D6" s="26">
        <v>76854</v>
      </c>
      <c r="E6" s="26"/>
      <c r="F6" s="26"/>
      <c r="G6" s="26"/>
      <c r="H6" s="27">
        <f t="shared" ref="H6:H30" si="0">SUM(B6:G6)</f>
        <v>177840</v>
      </c>
    </row>
    <row r="7" spans="1:11" ht="21" customHeight="1">
      <c r="A7" s="31" t="s">
        <v>13</v>
      </c>
      <c r="B7" s="32">
        <v>3589</v>
      </c>
      <c r="C7" s="32">
        <v>24746</v>
      </c>
      <c r="D7" s="32">
        <v>19329</v>
      </c>
      <c r="E7" s="32"/>
      <c r="F7" s="32"/>
      <c r="G7" s="32"/>
      <c r="H7" s="33">
        <f t="shared" ref="H7:H20" si="1">SUM(B7:G7)</f>
        <v>47664</v>
      </c>
    </row>
    <row r="8" spans="1:11" ht="21" customHeight="1">
      <c r="A8" s="31" t="s">
        <v>14</v>
      </c>
      <c r="B8" s="32">
        <v>2965</v>
      </c>
      <c r="C8" s="32">
        <v>29990</v>
      </c>
      <c r="D8" s="32">
        <v>22990</v>
      </c>
      <c r="E8" s="32"/>
      <c r="F8" s="32"/>
      <c r="G8" s="32"/>
      <c r="H8" s="33">
        <f t="shared" si="1"/>
        <v>55945</v>
      </c>
    </row>
    <row r="9" spans="1:11" ht="21" customHeight="1">
      <c r="A9" s="31" t="s">
        <v>15</v>
      </c>
      <c r="B9" s="32">
        <v>2453</v>
      </c>
      <c r="C9" s="32">
        <v>23747</v>
      </c>
      <c r="D9" s="32">
        <v>15657</v>
      </c>
      <c r="E9" s="32"/>
      <c r="F9" s="32"/>
      <c r="G9" s="32"/>
      <c r="H9" s="33">
        <f t="shared" si="1"/>
        <v>41857</v>
      </c>
    </row>
    <row r="10" spans="1:11" ht="21" customHeight="1">
      <c r="A10" s="31" t="s">
        <v>16</v>
      </c>
      <c r="B10" s="32">
        <v>1624</v>
      </c>
      <c r="C10" s="32">
        <v>18213</v>
      </c>
      <c r="D10" s="32">
        <v>15574</v>
      </c>
      <c r="E10" s="32"/>
      <c r="F10" s="32"/>
      <c r="G10" s="32"/>
      <c r="H10" s="33">
        <f t="shared" si="1"/>
        <v>35411</v>
      </c>
    </row>
    <row r="11" spans="1:11" ht="21" customHeight="1">
      <c r="A11" s="31" t="s">
        <v>17</v>
      </c>
      <c r="B11" s="32">
        <v>1242</v>
      </c>
      <c r="C11" s="32">
        <v>16215</v>
      </c>
      <c r="D11" s="32">
        <v>14372</v>
      </c>
      <c r="E11" s="32"/>
      <c r="F11" s="32"/>
      <c r="G11" s="32"/>
      <c r="H11" s="33">
        <f t="shared" si="1"/>
        <v>31829</v>
      </c>
    </row>
    <row r="12" spans="1:11" ht="21" customHeight="1">
      <c r="A12" s="31" t="s">
        <v>18</v>
      </c>
      <c r="B12" s="32">
        <v>3532</v>
      </c>
      <c r="C12" s="32">
        <v>27526</v>
      </c>
      <c r="D12" s="32">
        <v>22624</v>
      </c>
      <c r="E12" s="32"/>
      <c r="F12" s="32"/>
      <c r="G12" s="32"/>
      <c r="H12" s="33">
        <f t="shared" si="1"/>
        <v>53682</v>
      </c>
    </row>
    <row r="13" spans="1:11" ht="21" customHeight="1">
      <c r="A13" s="31" t="s">
        <v>19</v>
      </c>
      <c r="B13" s="32">
        <v>1714</v>
      </c>
      <c r="C13" s="32">
        <v>14627</v>
      </c>
      <c r="D13" s="32">
        <v>10637</v>
      </c>
      <c r="E13" s="32"/>
      <c r="F13" s="32"/>
      <c r="G13" s="32"/>
      <c r="H13" s="33">
        <f t="shared" si="1"/>
        <v>26978</v>
      </c>
    </row>
    <row r="14" spans="1:11" ht="21" customHeight="1">
      <c r="A14" s="31" t="s">
        <v>20</v>
      </c>
      <c r="B14" s="32">
        <v>1142</v>
      </c>
      <c r="C14" s="32">
        <v>15060</v>
      </c>
      <c r="D14" s="32">
        <v>9220</v>
      </c>
      <c r="E14" s="32"/>
      <c r="F14" s="32"/>
      <c r="G14" s="32"/>
      <c r="H14" s="33">
        <f t="shared" si="1"/>
        <v>25422</v>
      </c>
    </row>
    <row r="15" spans="1:11" ht="21" customHeight="1">
      <c r="A15" s="31" t="s">
        <v>21</v>
      </c>
      <c r="B15" s="32">
        <v>601</v>
      </c>
      <c r="C15" s="32">
        <v>6480</v>
      </c>
      <c r="D15" s="32">
        <v>4700</v>
      </c>
      <c r="E15" s="32"/>
      <c r="F15" s="32"/>
      <c r="G15" s="32"/>
      <c r="H15" s="33">
        <f t="shared" si="1"/>
        <v>11781</v>
      </c>
    </row>
    <row r="16" spans="1:11" ht="21" customHeight="1">
      <c r="A16" s="31" t="s">
        <v>22</v>
      </c>
      <c r="B16" s="32">
        <v>2073</v>
      </c>
      <c r="C16" s="32">
        <v>22335</v>
      </c>
      <c r="D16" s="32">
        <v>16166</v>
      </c>
      <c r="E16" s="32"/>
      <c r="F16" s="32"/>
      <c r="G16" s="32"/>
      <c r="H16" s="33">
        <f t="shared" si="1"/>
        <v>40574</v>
      </c>
    </row>
    <row r="17" spans="1:8" ht="21" customHeight="1">
      <c r="A17" s="31" t="s">
        <v>23</v>
      </c>
      <c r="B17" s="32">
        <v>881</v>
      </c>
      <c r="C17" s="32">
        <v>9434</v>
      </c>
      <c r="D17" s="32">
        <v>6104</v>
      </c>
      <c r="E17" s="32"/>
      <c r="F17" s="32"/>
      <c r="G17" s="32"/>
      <c r="H17" s="33">
        <f t="shared" si="1"/>
        <v>16419</v>
      </c>
    </row>
    <row r="18" spans="1:8" ht="21" customHeight="1">
      <c r="A18" s="31" t="s">
        <v>24</v>
      </c>
      <c r="B18" s="32">
        <v>370</v>
      </c>
      <c r="C18" s="32">
        <v>6560</v>
      </c>
      <c r="D18" s="32">
        <v>3795</v>
      </c>
      <c r="E18" s="32"/>
      <c r="F18" s="32"/>
      <c r="G18" s="32"/>
      <c r="H18" s="33">
        <f t="shared" si="1"/>
        <v>10725</v>
      </c>
    </row>
    <row r="19" spans="1:8" ht="21" customHeight="1">
      <c r="A19" s="31" t="s">
        <v>25</v>
      </c>
      <c r="B19" s="32">
        <v>1159</v>
      </c>
      <c r="C19" s="32">
        <v>12017</v>
      </c>
      <c r="D19" s="32">
        <v>10027</v>
      </c>
      <c r="E19" s="32"/>
      <c r="F19" s="32"/>
      <c r="G19" s="32"/>
      <c r="H19" s="33">
        <f t="shared" si="1"/>
        <v>23203</v>
      </c>
    </row>
    <row r="20" spans="1:8" ht="21" customHeight="1">
      <c r="A20" s="31" t="s">
        <v>26</v>
      </c>
      <c r="B20" s="32">
        <v>571</v>
      </c>
      <c r="C20" s="32">
        <v>5882</v>
      </c>
      <c r="D20" s="32">
        <v>4764</v>
      </c>
      <c r="E20" s="32"/>
      <c r="F20" s="32"/>
      <c r="G20" s="32"/>
      <c r="H20" s="33">
        <f t="shared" si="1"/>
        <v>11217</v>
      </c>
    </row>
    <row r="21" spans="1:8" ht="21" customHeight="1">
      <c r="A21" s="31" t="s">
        <v>27</v>
      </c>
      <c r="B21" s="32">
        <v>453</v>
      </c>
      <c r="C21" s="32">
        <v>5088</v>
      </c>
      <c r="D21" s="32">
        <v>4014</v>
      </c>
      <c r="E21" s="32"/>
      <c r="F21" s="32"/>
      <c r="G21" s="32"/>
      <c r="H21" s="33">
        <f t="shared" si="0"/>
        <v>9555</v>
      </c>
    </row>
    <row r="22" spans="1:8" ht="21" customHeight="1">
      <c r="A22" s="31" t="s">
        <v>28</v>
      </c>
      <c r="B22" s="32">
        <v>200</v>
      </c>
      <c r="C22" s="32">
        <v>3895</v>
      </c>
      <c r="D22" s="32">
        <v>2136</v>
      </c>
      <c r="E22" s="32"/>
      <c r="F22" s="32"/>
      <c r="G22" s="32"/>
      <c r="H22" s="33">
        <f t="shared" si="0"/>
        <v>6231</v>
      </c>
    </row>
    <row r="23" spans="1:8" ht="21" customHeight="1">
      <c r="A23" s="31" t="s">
        <v>29</v>
      </c>
      <c r="B23" s="32">
        <v>236</v>
      </c>
      <c r="C23" s="32">
        <v>2688</v>
      </c>
      <c r="D23" s="32">
        <v>1872</v>
      </c>
      <c r="E23" s="32"/>
      <c r="F23" s="32"/>
      <c r="G23" s="32"/>
      <c r="H23" s="33">
        <f t="shared" si="0"/>
        <v>4796</v>
      </c>
    </row>
    <row r="24" spans="1:8" ht="21" customHeight="1">
      <c r="A24" s="31" t="s">
        <v>30</v>
      </c>
      <c r="B24" s="32">
        <v>289</v>
      </c>
      <c r="C24" s="32">
        <v>3893</v>
      </c>
      <c r="D24" s="32">
        <v>2409</v>
      </c>
      <c r="E24" s="32"/>
      <c r="F24" s="32"/>
      <c r="G24" s="32"/>
      <c r="H24" s="33">
        <f t="shared" si="0"/>
        <v>6591</v>
      </c>
    </row>
    <row r="25" spans="1:8" ht="21" customHeight="1">
      <c r="A25" s="31" t="s">
        <v>31</v>
      </c>
      <c r="B25" s="32">
        <v>721</v>
      </c>
      <c r="C25" s="32">
        <v>8594</v>
      </c>
      <c r="D25" s="32">
        <v>5661</v>
      </c>
      <c r="E25" s="32"/>
      <c r="F25" s="32"/>
      <c r="G25" s="32"/>
      <c r="H25" s="33">
        <f t="shared" si="0"/>
        <v>14976</v>
      </c>
    </row>
    <row r="26" spans="1:8" ht="21" customHeight="1">
      <c r="A26" s="31" t="s">
        <v>32</v>
      </c>
      <c r="B26" s="32">
        <v>524</v>
      </c>
      <c r="C26" s="32">
        <v>4808</v>
      </c>
      <c r="D26" s="32">
        <v>4379</v>
      </c>
      <c r="E26" s="32"/>
      <c r="F26" s="32"/>
      <c r="G26" s="32"/>
      <c r="H26" s="33">
        <f t="shared" si="0"/>
        <v>9711</v>
      </c>
    </row>
    <row r="27" spans="1:8" ht="21" customHeight="1">
      <c r="A27" s="31" t="s">
        <v>33</v>
      </c>
      <c r="B27" s="32">
        <v>133</v>
      </c>
      <c r="C27" s="32">
        <v>2253</v>
      </c>
      <c r="D27" s="32">
        <v>2306</v>
      </c>
      <c r="E27" s="32"/>
      <c r="F27" s="32"/>
      <c r="G27" s="32"/>
      <c r="H27" s="33">
        <f t="shared" si="0"/>
        <v>4692</v>
      </c>
    </row>
    <row r="28" spans="1:8" ht="21" customHeight="1">
      <c r="A28" s="31" t="s">
        <v>34</v>
      </c>
      <c r="B28" s="32">
        <v>576</v>
      </c>
      <c r="C28" s="32">
        <v>8931</v>
      </c>
      <c r="D28" s="32">
        <v>3476</v>
      </c>
      <c r="E28" s="32"/>
      <c r="F28" s="32"/>
      <c r="G28" s="32"/>
      <c r="H28" s="33">
        <f t="shared" si="0"/>
        <v>12983</v>
      </c>
    </row>
    <row r="29" spans="1:8" ht="21" customHeight="1">
      <c r="A29" s="31" t="s">
        <v>35</v>
      </c>
      <c r="B29" s="32">
        <v>432</v>
      </c>
      <c r="C29" s="32">
        <v>5997</v>
      </c>
      <c r="D29" s="32">
        <v>4135</v>
      </c>
      <c r="E29" s="32"/>
      <c r="F29" s="32"/>
      <c r="G29" s="32"/>
      <c r="H29" s="33">
        <f t="shared" si="0"/>
        <v>10564</v>
      </c>
    </row>
    <row r="30" spans="1:8" ht="21" customHeight="1" thickBot="1">
      <c r="A30" s="28" t="s">
        <v>36</v>
      </c>
      <c r="B30" s="29">
        <v>227</v>
      </c>
      <c r="C30" s="29">
        <v>3935</v>
      </c>
      <c r="D30" s="29">
        <v>2480</v>
      </c>
      <c r="E30" s="29"/>
      <c r="F30" s="29"/>
      <c r="G30" s="29"/>
      <c r="H30" s="30">
        <f t="shared" si="0"/>
        <v>6642</v>
      </c>
    </row>
    <row r="31" spans="1:8" ht="21" customHeight="1" thickTop="1">
      <c r="A31" s="19" t="str">
        <f ca="1">A3&amp;" 合計"</f>
        <v>栃木県 合計</v>
      </c>
      <c r="B31" s="24">
        <f>SUM(B6:B30)</f>
        <v>38508</v>
      </c>
      <c r="C31" s="24">
        <f>SUM(C6:C30)</f>
        <v>373099</v>
      </c>
      <c r="D31" s="24">
        <f>SUM(D6:D30)</f>
        <v>285681</v>
      </c>
      <c r="E31" s="24">
        <f>SUM(E6:E30)</f>
        <v>0</v>
      </c>
      <c r="F31" s="24">
        <f>SUM(F6:F30)</f>
        <v>0</v>
      </c>
      <c r="G31" s="24">
        <f>SUM(G6:G30)</f>
        <v>0</v>
      </c>
      <c r="H31" s="24">
        <f>SUM(H6:H30)</f>
        <v>697288</v>
      </c>
    </row>
    <row r="32" spans="1:8" ht="21" customHeight="1">
      <c r="A32" s="8"/>
      <c r="B32" s="9"/>
      <c r="C32" s="10"/>
      <c r="D32" s="10"/>
      <c r="E32" s="10"/>
      <c r="F32" s="10"/>
      <c r="G32" s="10"/>
      <c r="H32" s="11"/>
    </row>
    <row r="33" spans="1:8" ht="21" customHeight="1">
      <c r="A33" s="12"/>
      <c r="B33" s="6"/>
      <c r="C33" s="13"/>
      <c r="D33" s="13"/>
      <c r="E33" s="13"/>
      <c r="F33" s="13"/>
      <c r="G33" s="13"/>
      <c r="H33" s="14"/>
    </row>
    <row r="34" spans="1:8" ht="21" customHeight="1">
      <c r="A34" s="12"/>
      <c r="B34" s="6"/>
      <c r="C34" s="13"/>
      <c r="D34" s="13"/>
      <c r="E34" s="13"/>
      <c r="F34" s="13"/>
      <c r="G34" s="13"/>
      <c r="H34" s="14"/>
    </row>
    <row r="35" spans="1:8" ht="21" customHeight="1">
      <c r="A35" s="12"/>
      <c r="B35" s="6"/>
      <c r="C35" s="13"/>
      <c r="D35" s="13"/>
      <c r="E35" s="13"/>
      <c r="F35" s="13"/>
      <c r="G35" s="13"/>
      <c r="H35" s="14"/>
    </row>
    <row r="36" spans="1:8" ht="21" customHeight="1">
      <c r="A36" s="12"/>
      <c r="B36" s="6"/>
      <c r="C36" s="13"/>
      <c r="D36" s="13"/>
      <c r="E36" s="13"/>
      <c r="F36" s="13"/>
      <c r="G36" s="13"/>
      <c r="H36" s="14"/>
    </row>
    <row r="37" spans="1:8" ht="21" customHeight="1">
      <c r="A37" s="12"/>
      <c r="B37" s="6"/>
      <c r="C37" s="13"/>
      <c r="D37" s="13"/>
      <c r="E37" s="13"/>
      <c r="F37" s="13"/>
      <c r="G37" s="13"/>
      <c r="H37" s="14"/>
    </row>
    <row r="38" spans="1:8" ht="21" customHeight="1">
      <c r="A38" s="12"/>
      <c r="B38" s="6"/>
      <c r="C38" s="13"/>
      <c r="D38" s="13"/>
      <c r="E38" s="13"/>
      <c r="F38" s="13"/>
      <c r="G38" s="13"/>
      <c r="H38" s="14"/>
    </row>
    <row r="39" spans="1:8" ht="21" customHeight="1">
      <c r="A39" s="12"/>
      <c r="B39" s="6"/>
      <c r="C39" s="13"/>
      <c r="D39" s="13"/>
      <c r="E39" s="13"/>
      <c r="F39" s="13"/>
      <c r="G39" s="13"/>
      <c r="H39" s="14"/>
    </row>
  </sheetData>
  <mergeCells count="2">
    <mergeCell ref="H4:H5"/>
    <mergeCell ref="B2:H2"/>
  </mergeCells>
  <phoneticPr fontId="1"/>
  <printOptions horizontalCentered="1"/>
  <pageMargins left="0.39370078740157483" right="0.39370078740157483" top="0.59055118110236227" bottom="0.39370078740157483" header="0.27559055118110237" footer="0.23622047244094491"/>
  <pageSetup paperSize="9" scale="64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栃木県</vt:lpstr>
      <vt:lpstr>栃木県!Print_Area</vt:lpstr>
      <vt:lpstr>栃木県!Print_Titles</vt:lpstr>
    </vt:vector>
  </TitlesOfParts>
  <Company>鹿児島県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鹿児島県</dc:creator>
  <cp:lastModifiedBy>Administrator</cp:lastModifiedBy>
  <cp:lastPrinted>2019-07-23T11:10:21Z</cp:lastPrinted>
  <dcterms:created xsi:type="dcterms:W3CDTF">2010-07-11T18:06:49Z</dcterms:created>
  <dcterms:modified xsi:type="dcterms:W3CDTF">2019-07-29T04:15:44Z</dcterms:modified>
</cp:coreProperties>
</file>